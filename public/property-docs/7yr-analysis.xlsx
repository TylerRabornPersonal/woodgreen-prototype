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ebt" sheetId="3" state="visible" r:id="rId5"/>
    <sheet name="Revenue" sheetId="4" state="visible" r:id="rId6"/>
    <sheet name="OpEx" sheetId="5" state="visible" r:id="rId7"/>
    <sheet name="Depreciation" sheetId="6" state="visible" r:id="rId8"/>
    <sheet name="CashFlow" sheetId="7" state="visible" r:id="rId9"/>
    <sheet name="Retur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<sst xmlns="http://schemas.openxmlformats.org/spreadsheetml/2006/main" count="296" uniqueCount="247">
  <si>
    <t xml:space="preserve">25 Woodgreen Place — Executive Summary</t>
  </si>
  <si>
    <t xml:space="preserve">Madison, MS • 7-Year Hold • Prepared 5/16/2026</t>
  </si>
  <si>
    <t xml:space="preserve">DEAL OVERVIEW</t>
  </si>
  <si>
    <t xml:space="preserve">FINANCING (SELECTED)</t>
  </si>
  <si>
    <t xml:space="preserve">Purchase price</t>
  </si>
  <si>
    <t xml:space="preserve">Option selected</t>
  </si>
  <si>
    <t xml:space="preserve">CapEx (3rd floor build-out)</t>
  </si>
  <si>
    <t xml:space="preserve">Loan amount</t>
  </si>
  <si>
    <t xml:space="preserve">Closing + origination</t>
  </si>
  <si>
    <t xml:space="preserve">Rate</t>
  </si>
  <si>
    <t xml:space="preserve">Total project cost</t>
  </si>
  <si>
    <t xml:space="preserve">Monthly P&amp;I</t>
  </si>
  <si>
    <t xml:space="preserve">Annual debt service</t>
  </si>
  <si>
    <t xml:space="preserve">Equity required at close</t>
  </si>
  <si>
    <t xml:space="preserve">RETURNS — 7-YEAR HOLD</t>
  </si>
  <si>
    <t xml:space="preserve">Pre-tax IRR (levered)</t>
  </si>
  <si>
    <t xml:space="preserve">Min DSCR (hold)</t>
  </si>
  <si>
    <t xml:space="preserve">After-tax IRR (levered)</t>
  </si>
  <si>
    <t xml:space="preserve">Avg DSCR (stabilized)</t>
  </si>
  <si>
    <t xml:space="preserve">Equity multiple (pre-tax)</t>
  </si>
  <si>
    <t xml:space="preserve">Year 7 NOI</t>
  </si>
  <si>
    <t xml:space="preserve">Equity multiple (after-tax)</t>
  </si>
  <si>
    <t xml:space="preserve">Year 7 sale price (gross)</t>
  </si>
  <si>
    <t xml:space="preserve">Avg Cash-on-Cash (Yr 3–7, stabilized)</t>
  </si>
  <si>
    <t xml:space="preserve">Year 1 bonus depreciation</t>
  </si>
  <si>
    <t xml:space="preserve">REVENUE &amp; NOI BY YEAR</t>
  </si>
  <si>
    <t xml:space="preserve">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</si>
  <si>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</si>
  <si>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</si>
  <si>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</si>
  <si>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</si>
  <si>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</si>
  <si>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</si>
  <si>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</si>
  <si>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Gross Revenue</t>
  </si>
  <si>
    <t xml:space="preserve">NOI</t>
  </si>
  <si>
    <t xml:space="preserve">Pre-tax CF</t>
  </si>
  <si>
    <t xml:space="preserve">After-tax CF</t>
  </si>
  <si>
    <t xml:space="preserve">DSCR</t>
  </si>
  <si>
    <t xml:space="preserve">25 Woodgreen Place — Key Assumptions</t>
  </si>
  <si>
    <t xml:space="preserve">Madison, MS • 7-Year Analysis • As of 5/16/2026</t>
  </si>
  <si>
    <t xml:space="preserve">ACQUISITION</t>
  </si>
  <si>
    <t xml:space="preserve">Contract price</t>
  </si>
  <si>
    <t xml:space="preserve">CapEx — 3rd floor build-out</t>
  </si>
  <si>
    <t xml:space="preserve">~4,000–4,500 SF added on Hood side</t>
  </si>
  <si>
    <t xml:space="preserve">Closing costs (appraisal, attorney, environmental)</t>
  </si>
  <si>
    <t xml:space="preserve">Excluding origination fee</t>
  </si>
  <si>
    <t xml:space="preserve">Origination fee (selected option)</t>
  </si>
  <si>
    <t xml:space="preserve">0.25% of selected loan</t>
  </si>
  <si>
    <t xml:space="preserve">FINANCING — RENASANT COMMITMENT (Two Options)</t>
  </si>
  <si>
    <t xml:space="preserve">Option A (85%)</t>
  </si>
  <si>
    <t xml:space="preserve">Option B (80%)</t>
  </si>
  <si>
    <t xml:space="preserve">LTV</t>
  </si>
  <si>
    <t xml:space="preserve">85%/80% of $2.65M</t>
  </si>
  <si>
    <t xml:space="preserve">Fixed rate (5-yr)</t>
  </si>
  <si>
    <t xml:space="preserve">Per commitment letter</t>
  </si>
  <si>
    <t xml:space="preserve">Floating rate (today)</t>
  </si>
  <si>
    <t xml:space="preserve">SOFR + 2.25%; cap 6.85%</t>
  </si>
  <si>
    <t xml:space="preserve">Amortization (months)</t>
  </si>
  <si>
    <t xml:space="preserve">20-year amortization</t>
  </si>
  <si>
    <t xml:space="preserve">Term (months)</t>
  </si>
  <si>
    <t xml:space="preserve">5-year maturity; refi assumed at maturity</t>
  </si>
  <si>
    <t xml:space="preserve">Origination fee (%)</t>
  </si>
  <si>
    <t xml:space="preserve">0.25%</t>
  </si>
  <si>
    <t xml:space="preserve">Selected option (A or B)</t>
  </si>
  <si>
    <t xml:space="preserve">B</t>
  </si>
  <si>
    <t xml:space="preserve">Change to "A" to flip to 85% LTV scenario</t>
  </si>
  <si>
    <t xml:space="preserve">Rate type (Fixed or Floating)</t>
  </si>
  <si>
    <t xml:space="preserve">Fixed</t>
  </si>
  <si>
    <t xml:space="preserve">"Fixed" or "Floating"</t>
  </si>
  <si>
    <t xml:space="preserve">Selected loan amount</t>
  </si>
  <si>
    <t xml:space="preserve">Selected rate</t>
  </si>
  <si>
    <t xml:space="preserve">Monthly P&amp;I (selected)</t>
  </si>
  <si>
    <t xml:space="preserve">Annual debt service (selected)</t>
  </si>
  <si>
    <t xml:space="preserve">REVENUE — HOOD PACKAGING (NNN)</t>
  </si>
  <si>
    <t xml:space="preserve">Year 1 Hood rent (consolidated lease) — $/month</t>
  </si>
  <si>
    <t xml:space="preserve">New 12-mo lease signed at closing</t>
  </si>
  <si>
    <t xml:space="preserve">Months 13–18 Hood reduced rent — $/month</t>
  </si>
  <si>
    <t xml:space="preserve">6-month construction period</t>
  </si>
  <si>
    <t xml:space="preserve">Stabilized Hood NNN rent (mo 19+) — $/month</t>
  </si>
  <si>
    <t xml:space="preserve">Post-restructure NNN</t>
  </si>
  <si>
    <t xml:space="preserve">Annual rent escalator — Hood</t>
  </si>
  <si>
    <t xml:space="preserve">Applied starting Year 3</t>
  </si>
  <si>
    <t xml:space="preserve">REVENUE — EXECUTIVE SUITES (Gross / Full-Service)</t>
  </si>
  <si>
    <t xml:space="preserve"># of executive suites</t>
  </si>
  <si>
    <t xml:space="preserve">Per user</t>
  </si>
  <si>
    <t xml:space="preserve">Average monthly rent per suite (stabilized)</t>
  </si>
  <si>
    <t xml:space="preserve">$/mo gross — incl. utilities, internet, reception</t>
  </si>
  <si>
    <t xml:space="preserve">Stabilized occupancy</t>
  </si>
  <si>
    <t xml:space="preserve">85% stabilized (industry norm 75–90%)</t>
  </si>
  <si>
    <t xml:space="preserve">Months 13–18 occupancy (ramp during construction)</t>
  </si>
  <si>
    <t xml:space="preserve">Lease-up while Hood-side construction underway</t>
  </si>
  <si>
    <t xml:space="preserve">Year 2 H2 occupancy (mo 19–24)</t>
  </si>
  <si>
    <t xml:space="preserve">Continued ramp to stabilization</t>
  </si>
  <si>
    <t xml:space="preserve">Annual rent escalator — Exec suites</t>
  </si>
  <si>
    <t xml:space="preserve">3% applied starting Year 4</t>
  </si>
  <si>
    <t xml:space="preserve">OPERATING EXPENSES (Landlord-paid; stabilized Year 3)</t>
  </si>
  <si>
    <t xml:space="preserve">Property tax — landlord portion (exec side ~34%)</t>
  </si>
  <si>
    <t xml:space="preserve">Hood reimburses NNN portion (~$20K)</t>
  </si>
  <si>
    <t xml:space="preserve">Insurance — landlord portion</t>
  </si>
  <si>
    <t xml:space="preserve">NNN reimbursement covers Hood share</t>
  </si>
  <si>
    <t xml:space="preserve">Utilities (exec suite side)</t>
  </si>
  <si>
    <t xml:space="preserve">Electric/water/gas — gross to tenants</t>
  </si>
  <si>
    <t xml:space="preserve">Internet / IT (exec side)</t>
  </si>
  <si>
    <t xml:space="preserve">$600/mo — incl. in suite rent</t>
  </si>
  <si>
    <t xml:space="preserve">Reception / admin (part-time or contracted)</t>
  </si>
  <si>
    <t xml:space="preserve">Front-desk coverage</t>
  </si>
  <si>
    <t xml:space="preserve">Cleaning / janitorial (exec side)</t>
  </si>
  <si>
    <t xml:space="preserve">$1,000/mo</t>
  </si>
  <si>
    <t xml:space="preserve">Marketing / leasing (exec side)</t>
  </si>
  <si>
    <t xml:space="preserve">Ongoing turnover marketing</t>
  </si>
  <si>
    <t xml:space="preserve">Repairs / maintenance reserves (whole building)</t>
  </si>
  <si>
    <t xml:space="preserve">~$0.34/SF on 17,500 SF</t>
  </si>
  <si>
    <t xml:space="preserve">Misc / supplies</t>
  </si>
  <si>
    <t xml:space="preserve">Property management fee (% of EGI)</t>
  </si>
  <si>
    <t xml:space="preserve">5% — light-touch self-management possible</t>
  </si>
  <si>
    <t xml:space="preserve">Year 1 LL OpEx (Hood NNN only)</t>
  </si>
  <si>
    <t xml:space="preserve">Minimal — reserves, oversight, audit</t>
  </si>
  <si>
    <t xml:space="preserve">Months 13–18 LL OpEx (construction half)</t>
  </si>
  <si>
    <t xml:space="preserve">Half-year of exec-side stabilized opex</t>
  </si>
  <si>
    <t xml:space="preserve">Months 19–24 LL OpEx (ramping half)</t>
  </si>
  <si>
    <t xml:space="preserve">Half-year of stabilized opex</t>
  </si>
  <si>
    <t xml:space="preserve">Annual OpEx inflation</t>
  </si>
  <si>
    <t xml:space="preserve">3%</t>
  </si>
  <si>
    <t xml:space="preserve">DEPRECIATION (Cost Segregation + Bonus)</t>
  </si>
  <si>
    <t xml:space="preserve">Land allocation (% of purchase price)</t>
  </si>
  <si>
    <t xml:space="preserve">Land not depreciable</t>
  </si>
  <si>
    <t xml:space="preserve">5-yr personal property (% of depreciable basis)</t>
  </si>
  <si>
    <t xml:space="preserve">Per typical cost seg study (office/flex)</t>
  </si>
  <si>
    <t xml:space="preserve">15-yr land improvements (% of depreciable basis)</t>
  </si>
  <si>
    <t xml:space="preserve">Parking, landscaping, site improvements</t>
  </si>
  <si>
    <t xml:space="preserve">39-yr nonresidential building (% of depr. basis)</t>
  </si>
  <si>
    <t xml:space="preserve">Remainder — structural</t>
  </si>
  <si>
    <t xml:space="preserve">Bonus depreciation rate (Year 1)</t>
  </si>
  <si>
    <t xml:space="preserve">100% per OBBBA; placed in service post-1/19/2025</t>
  </si>
  <si>
    <t xml:space="preserve">TAX &amp; EXIT</t>
  </si>
  <si>
    <t xml:space="preserve">Marginal ordinary tax rate (fed + MS)</t>
  </si>
  <si>
    <t xml:space="preserve">~32-37% fed + 5% MS</t>
  </si>
  <si>
    <t xml:space="preserve">Long-term capital gains rate</t>
  </si>
  <si>
    <t xml:space="preserve">20% fed + state</t>
  </si>
  <si>
    <t xml:space="preserve">Section 1250 unrecaptured gain rate</t>
  </si>
  <si>
    <t xml:space="preserve">25% federal max</t>
  </si>
  <si>
    <t xml:space="preserve">Losses usable against active income? (REPS)</t>
  </si>
  <si>
    <t xml:space="preserve">Yes</t>
  </si>
  <si>
    <t xml:space="preserve">If "No", losses suspend as passive</t>
  </si>
  <si>
    <t xml:space="preserve">Exit cap rate (Year 7 sale)</t>
  </si>
  <si>
    <t xml:space="preserve">8.5% — suburban office/flex</t>
  </si>
  <si>
    <t xml:space="preserve">Sale costs (% of gross sale price)</t>
  </si>
  <si>
    <t xml:space="preserve">Broker + closing</t>
  </si>
  <si>
    <t xml:space="preserve">Debt Schedule — Both Options</t>
  </si>
  <si>
    <t xml:space="preserve">Option A — 85% LTV ($2,252,500)</t>
  </si>
  <si>
    <t xml:space="preserve">Option B — 80% LTV ($2,120,000)</t>
  </si>
  <si>
    <t xml:space="preserve">Beg Balance</t>
  </si>
  <si>
    <t xml:space="preserve">Interest</t>
  </si>
  <si>
    <t xml:space="preserve">Principal</t>
  </si>
  <si>
    <t xml:space="preserve">End Balance</t>
  </si>
  <si>
    <t xml:space="preserve">Note: Loan matures at month 60. Model assumes refinance at same rate / fresh terms; principal/interest reflect continued 20-yr amortization.</t>
  </si>
  <si>
    <t xml:space="preserve">Selected Loan — Annual Debt Service</t>
  </si>
  <si>
    <t xml:space="preserve">Total DS</t>
  </si>
  <si>
    <t xml:space="preserve">Revenue Schedule — 7-Year</t>
  </si>
  <si>
    <t xml:space="preserve">Hood Packaging rent</t>
  </si>
  <si>
    <t xml:space="preserve">Executive suites revenue</t>
  </si>
  <si>
    <t xml:space="preserve">NNN reimbursements (Hood pass-throughs)</t>
  </si>
  <si>
    <t xml:space="preserve">Total Gross Revenue</t>
  </si>
  <si>
    <t xml:space="preserve">Year 1: Hood single-tenant lease at $19K/mo (current consolidated lease — assumed NNN). Exec suite side not yet operational.</t>
  </si>
  <si>
    <t xml:space="preserve">Year 2: Mo 13–18 — Hood at $12K/mo during 3rd-floor construction; exec suites ramping at 55% occ. Mo 19–24 — Hood at $18K NNN; exec suites at 75% occ.</t>
  </si>
  <si>
    <t xml:space="preserve">Years 3–7: Stabilized. Hood at $18K/mo NNN with 2.5% escalator. Exec suites at 85% occupancy with 3% escalator.</t>
  </si>
  <si>
    <t xml:space="preserve">Operating Expenses — Landlord Paid</t>
  </si>
  <si>
    <t xml:space="preserve">Year 1: Single-tenant NNN (Hood)</t>
  </si>
  <si>
    <t xml:space="preserve">Landlord-paid OpEx (reserves, oversight)</t>
  </si>
  <si>
    <t xml:space="preserve">Year 2: Construction + ramp</t>
  </si>
  <si>
    <t xml:space="preserve">Months 19–24 LL OpEx (ramp half)</t>
  </si>
  <si>
    <t xml:space="preserve">Years 3–7: Stabilized (annual)</t>
  </si>
  <si>
    <t xml:space="preserve">Property tax (LL portion)</t>
  </si>
  <si>
    <t xml:space="preserve">Insurance (LL portion)</t>
  </si>
  <si>
    <t xml:space="preserve">Utilities (exec side)</t>
  </si>
  <si>
    <t xml:space="preserve">Internet / IT</t>
  </si>
  <si>
    <t xml:space="preserve">Reception / admin</t>
  </si>
  <si>
    <t xml:space="preserve">Cleaning / janitorial</t>
  </si>
  <si>
    <t xml:space="preserve">Marketing / leasing</t>
  </si>
  <si>
    <t xml:space="preserve">Repairs / maintenance</t>
  </si>
  <si>
    <t xml:space="preserve">Property management fee (5% of EGI)</t>
  </si>
  <si>
    <t xml:space="preserve">Total Operating Expenses</t>
  </si>
  <si>
    <t xml:space="preserve">Depreciation — Cost Segregation + 100% Bonus</t>
  </si>
  <si>
    <t xml:space="preserve">Basis Allocation</t>
  </si>
  <si>
    <t xml:space="preserve">Less: land allocation</t>
  </si>
  <si>
    <t xml:space="preserve">Plus: CapEx (3rd floor build-out)</t>
  </si>
  <si>
    <t xml:space="preserve">Depreciable basis</t>
  </si>
  <si>
    <t xml:space="preserve">5-yr personal property basis</t>
  </si>
  <si>
    <t xml:space="preserve">15-yr land improvements basis</t>
  </si>
  <si>
    <t xml:space="preserve">39-yr building structure basis</t>
  </si>
  <si>
    <t xml:space="preserve">Annual Depreciation Schedule</t>
  </si>
  <si>
    <t xml:space="preserve">5-yr property (100% bonus Y1)</t>
  </si>
  <si>
    <t xml:space="preserve">15-yr property (100% bonus Y1)</t>
  </si>
  <si>
    <t xml:space="preserve">39-yr building (SL, ~½-yr Y1)</t>
  </si>
  <si>
    <t xml:space="preserve">Total annual depreciation</t>
  </si>
  <si>
    <t xml:space="preserve">Cumulative depreciation</t>
  </si>
  <si>
    <t xml:space="preserve">Bonus depreciation: 100% under One Big Beautiful Bill Act (OBBBA) for property placed in service after 1/19/2025. Provides massive Year 1 deduction. 5-yr and 15-yr classes are bonus-eligible; 39-yr structural is not.</t>
  </si>
  <si>
    <t xml:space="preserve">P&amp;L, Cash Flow, and After-Tax Returns — 7-Year</t>
  </si>
  <si>
    <t xml:space="preserve">Gross Revenue (from Revenue tab)</t>
  </si>
  <si>
    <t xml:space="preserve">Less: vacancy reserve (additional)</t>
  </si>
  <si>
    <t xml:space="preserve">Effective Gross Income (EGI)</t>
  </si>
  <si>
    <t xml:space="preserve">Less: Operating Expenses</t>
  </si>
  <si>
    <t xml:space="preserve">Net Operating Income (NOI)</t>
  </si>
  <si>
    <t xml:space="preserve">Less: Debt service (interest + principal)</t>
  </si>
  <si>
    <t xml:space="preserve">   memo: Interest portion</t>
  </si>
  <si>
    <t xml:space="preserve">   memo: Principal portion</t>
  </si>
  <si>
    <t xml:space="preserve">Pre-tax Cash Flow (NOI − DS)</t>
  </si>
  <si>
    <t xml:space="preserve">TAX CALCULATION (Accelerated Depreciation)</t>
  </si>
  <si>
    <t xml:space="preserve">Less: Interest expense (deductible)</t>
  </si>
  <si>
    <t xml:space="preserve">Less: Depreciation</t>
  </si>
  <si>
    <t xml:space="preserve">Taxable income / (loss)</t>
  </si>
  <si>
    <t xml:space="preserve">Income tax (benefit) at ordinary rate</t>
  </si>
  <si>
    <t xml:space="preserve">After-tax Cash Flow</t>
  </si>
  <si>
    <t xml:space="preserve">DSCR (NOI ÷ Debt Service)</t>
  </si>
  <si>
    <t xml:space="preserve">Cash-on-Cash Return (pre-tax)</t>
  </si>
  <si>
    <t xml:space="preserve">Returns Summary — IRR &amp; Exit</t>
  </si>
  <si>
    <t xml:space="preserve">YEAR 7 EXIT</t>
  </si>
  <si>
    <t xml:space="preserve">Exit cap rate</t>
  </si>
  <si>
    <t xml:space="preserve">Gross sale price (NOI / cap rate)</t>
  </si>
  <si>
    <t xml:space="preserve">Less: sale costs</t>
  </si>
  <si>
    <t xml:space="preserve">Net sale proceeds</t>
  </si>
  <si>
    <t xml:space="preserve">Less: loan payoff (Year 7 ending balance)</t>
  </si>
  <si>
    <t xml:space="preserve">Pre-tax sale equity</t>
  </si>
  <si>
    <t xml:space="preserve">SALE TAX CALC</t>
  </si>
  <si>
    <t xml:space="preserve">Adjusted basis (Total project cost − accumulated depr)</t>
  </si>
  <si>
    <t xml:space="preserve">Total gain on sale (Net sale − Adj. basis)</t>
  </si>
  <si>
    <t xml:space="preserve">Accumulated depreciation (Year 7)</t>
  </si>
  <si>
    <t xml:space="preserve">§1245 recapture (5-yr + 15-yr accum depr)</t>
  </si>
  <si>
    <t xml:space="preserve">§1250 unrecaptured gain (39-yr SL depr)</t>
  </si>
  <si>
    <t xml:space="preserve">Long-term capital gain (remainder)</t>
  </si>
  <si>
    <t xml:space="preserve">Tax on sale</t>
  </si>
  <si>
    <t xml:space="preserve">After-tax sale equity</t>
  </si>
  <si>
    <t xml:space="preserve">CASH FLOW STREAM (for IRR)</t>
  </si>
  <si>
    <t xml:space="preserve">Pre-tax equity CF</t>
  </si>
  <si>
    <t xml:space="preserve">After-tax equity CF</t>
  </si>
  <si>
    <t xml:space="preserve">KEY RETURN METRICS</t>
  </si>
  <si>
    <t xml:space="preserve">Total equity invested</t>
  </si>
  <si>
    <t xml:space="preserve">Total pre-tax cash returned (Yr 1–7)</t>
  </si>
  <si>
    <t xml:space="preserve">Total after-tax cash returned (Yr 1–7)</t>
  </si>
  <si>
    <t xml:space="preserve">Equity Multiple (pre-tax)</t>
  </si>
  <si>
    <t xml:space="preserve">Equity Multiple (after-tax)</t>
  </si>
  <si>
    <t xml:space="preserve">IRR (pre-tax, levered)</t>
  </si>
  <si>
    <t xml:space="preserve">IRR (after-tax, levered)</t>
  </si>
  <si>
    <t xml:space="preserve">Avg Cash-on-Cash (Years 3–7, stabilized)</t>
  </si>
  <si>
    <t xml:space="preserve">Min DSCR across hold</t>
  </si>
  <si>
    <t xml:space="preserve">Avg DSCR (stabilized, Years 3–7)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</si>
</sst>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0%;\(0.00%\);\-"/>
    <numFmt numFmtId="167" formatCode="0.0%;\(0.0%\);\-"/>
    <numFmt numFmtId="168" formatCode="0.00"/>
    <numFmt numFmtId="169" formatCode="0.00\x"/>
    <numFmt numFmtId="170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D4" s="3" t="s">
        <v>3</v>
      </c>
      <c r="E4" s="3"/>
    </row>
    <row r="5" customFormat="false" ht="15" hidden="false" customHeight="false" outlineLevel="0" collapsed="false">
      <c r="A5" s="0" t="s">
        <v>4</v>
      </c>
      <c r="B5" s="4" t="n">
        <f aca="false">Assumptions!$B$5</f>
        <v>2650000</v>
      </c>
      <c r="D5" s="0" t="s">
        <v>5</v>
      </c>
      <c r="E5" s="5" t="str">
        <f aca="false">Assumptions!B21&amp;" — "&amp;Assumptions!B22</f>
        <v>B — Fixed</v>
      </c>
    </row>
    <row r="6" customFormat="false" ht="15" hidden="false" customHeight="false" outlineLevel="0" collapsed="false">
      <c r="A6" s="0" t="s">
        <v>6</v>
      </c>
      <c r="B6" s="4" t="n">
        <f aca="false">Assumptions!$B$6</f>
        <v>350000</v>
      </c>
      <c r="D6" s="0" t="s">
        <v>7</v>
      </c>
      <c r="E6" s="4" t="n">
        <f aca="false">Assumptions!$B$23</f>
        <v>2120000</v>
      </c>
    </row>
    <row r="7" customFormat="false" ht="15" hidden="false" customHeight="false" outlineLevel="0" collapsed="false">
      <c r="A7" s="0" t="s">
        <v>8</v>
      </c>
      <c r="B7" s="4" t="n">
        <f aca="false">Assumptions!$B$7+Assumptions!$B$8</f>
        <v>30038.739194726</v>
      </c>
      <c r="D7" s="0" t="s">
        <v>9</v>
      </c>
      <c r="E7" s="6" t="n">
        <f aca="false">Assumptions!$B$24</f>
        <v>0.0625</v>
      </c>
    </row>
    <row r="8" customFormat="false" ht="15" hidden="false" customHeight="false" outlineLevel="0" collapsed="false">
      <c r="A8" s="7" t="s">
        <v>10</v>
      </c>
      <c r="B8" s="8" t="n">
        <f aca="false">Assumptions!$B$9</f>
        <v>3030038.73919473</v>
      </c>
      <c r="D8" s="0" t="s">
        <v>11</v>
      </c>
      <c r="E8" s="4" t="n">
        <f aca="false">Assumptions!$B$25</f>
        <v>15495.6778904045</v>
      </c>
    </row>
    <row r="9" customFormat="false" ht="15" hidden="false" customHeight="false" outlineLevel="0" collapsed="false">
      <c r="D9" s="0" t="s">
        <v>12</v>
      </c>
      <c r="E9" s="4" t="n">
        <f aca="false">Assumptions!$B$26</f>
        <v>185948.134684854</v>
      </c>
    </row>
    <row r="10" customFormat="false" ht="15" hidden="false" customHeight="false" outlineLevel="0" collapsed="false">
      <c r="D10" s="7" t="s">
        <v>13</v>
      </c>
      <c r="E10" s="8" t="n">
        <f aca="false">Assumptions!$B$27</f>
        <v>910038.739194726</v>
      </c>
    </row>
    <row r="12" customFormat="false" ht="15" hidden="false" customHeight="false" outlineLevel="0" collapsed="false">
      <c r="A12" s="3" t="s">
        <v>14</v>
      </c>
      <c r="B12" s="3"/>
      <c r="C12" s="3"/>
      <c r="D12" s="3"/>
      <c r="E12" s="3"/>
    </row>
    <row r="13" customFormat="false" ht="15" hidden="false" customHeight="false" outlineLevel="0" collapsed="false">
      <c r="A13" s="0" t="s">
        <v>15</v>
      </c>
      <c r="B13" s="9" t="n">
        <f aca="false">Returns!B33</f>
        <v>0.125299984356128</v>
      </c>
      <c r="D13" s="0" t="s">
        <v>16</v>
      </c>
      <c r="E13" s="10" t="n">
        <f aca="false">Returns!B36</f>
        <v>0.957213151407313</v>
      </c>
    </row>
    <row r="14" customFormat="false" ht="15" hidden="false" customHeight="false" outlineLevel="0" collapsed="false">
      <c r="A14" s="0" t="s">
        <v>17</v>
      </c>
      <c r="B14" s="9" t="n">
        <f aca="false">Returns!B34</f>
        <v>0.104666713884165</v>
      </c>
      <c r="D14" s="0" t="s">
        <v>18</v>
      </c>
      <c r="E14" s="10" t="n">
        <f aca="false">Returns!B37</f>
        <v>1.42608318326135</v>
      </c>
    </row>
    <row r="15" customFormat="false" ht="15" hidden="false" customHeight="false" outlineLevel="0" collapsed="false">
      <c r="A15" s="0" t="s">
        <v>19</v>
      </c>
      <c r="B15" s="11" t="n">
        <f aca="false">Returns!B31</f>
        <v>2.10704778488465</v>
      </c>
      <c r="D15" s="0" t="s">
        <v>20</v>
      </c>
      <c r="E15" s="12" t="n">
        <f aca="false">Returns!B4</f>
        <v>278926.35450843</v>
      </c>
    </row>
    <row r="16" customFormat="false" ht="15" hidden="false" customHeight="false" outlineLevel="0" collapsed="false">
      <c r="A16" s="0" t="s">
        <v>21</v>
      </c>
      <c r="B16" s="11" t="n">
        <f aca="false">Returns!B32</f>
        <v>1.75981152729177</v>
      </c>
      <c r="D16" s="0" t="s">
        <v>22</v>
      </c>
      <c r="E16" s="12" t="n">
        <f aca="false">Returns!B6</f>
        <v>3281486.52362859</v>
      </c>
    </row>
    <row r="17" customFormat="false" ht="15" hidden="false" customHeight="false" outlineLevel="0" collapsed="false">
      <c r="A17" s="0" t="s">
        <v>23</v>
      </c>
      <c r="B17" s="13" t="n">
        <f aca="false">Returns!B35</f>
        <v>0.0870615389605731</v>
      </c>
      <c r="D17" s="0" t="s">
        <v>24</v>
      </c>
      <c r="E17" s="12" t="n">
        <f aca="false">Depreciation!B19</f>
        <v>549416.666666667</v>
      </c>
    </row>
    <row r="19" customFormat="false" ht="15" hidden="false" customHeight="false" outlineLevel="0" collapsed="false">
      <c r="A19" s="3" t="s">
        <v>25</v>
      </c>
      <c r="B19" s="3"/>
      <c r="C19" s="3"/>
      <c r="D19" s="3"/>
      <c r="E19" s="3"/>
    </row>
    <row r="20" customFormat="false" ht="15" hidden="false" customHeight="false" outlineLevel="0" collapsed="false">
      <c r="A20" s="7" t="s">
        <v>26</v>
      </c>
      <c r="B20" s="14" t="s">
        <v>27</v>
      </c>
      <c r="C20" s="14" t="s">
        <v>28</v>
      </c>
      <c r="D20" s="14" t="s">
        <v>29</v>
      </c>
      <c r="E20" s="14" t="s">
        <v>30</v>
      </c>
      <c r="F20" s="14" t="s">
        <v>31</v>
      </c>
      <c r="G20" s="14" t="s">
        <v>32</v>
      </c>
      <c r="H20" s="14" t="s">
        <v>33</v>
      </c>
    </row>
    <row r="21" customFormat="false" ht="15" hidden="false" customHeight="false" outlineLevel="0" collapsed="false">
      <c r="A21" s="0" t="s">
        <v>34</v>
      </c>
      <c r="B21" s="12" t="n">
        <f aca="false">Revenue!B7</f>
        <v>258000</v>
      </c>
      <c r="C21" s="12" t="n">
        <f aca="false">Revenue!C7</f>
        <v>287360</v>
      </c>
      <c r="D21" s="12" t="n">
        <f aca="false">Revenue!D7</f>
        <v>355240</v>
      </c>
      <c r="E21" s="12" t="n">
        <f aca="false">Revenue!E7</f>
        <v>364817.2</v>
      </c>
      <c r="F21" s="12" t="n">
        <f aca="false">Revenue!F7</f>
        <v>374654.716</v>
      </c>
      <c r="G21" s="12" t="n">
        <f aca="false">Revenue!G7</f>
        <v>384759.68248</v>
      </c>
      <c r="H21" s="12" t="n">
        <f aca="false">Revenue!H7</f>
        <v>395139.4310794</v>
      </c>
    </row>
    <row r="22" customFormat="false" ht="15" hidden="false" customHeight="false" outlineLevel="0" collapsed="false">
      <c r="A22" s="0" t="s">
        <v>35</v>
      </c>
      <c r="B22" s="12" t="n">
        <f aca="false">CashFlow!B8</f>
        <v>250000</v>
      </c>
      <c r="C22" s="12" t="n">
        <f aca="false">CashFlow!C8</f>
        <v>177992</v>
      </c>
      <c r="D22" s="12" t="n">
        <f aca="false">CashFlow!D8</f>
        <v>251778</v>
      </c>
      <c r="E22" s="12" t="n">
        <f aca="false">CashFlow!E8</f>
        <v>258305.34</v>
      </c>
      <c r="F22" s="12" t="n">
        <f aca="false">CashFlow!F8</f>
        <v>265002.8502</v>
      </c>
      <c r="G22" s="12" t="n">
        <f aca="false">CashFlow!G8</f>
        <v>271874.994456</v>
      </c>
      <c r="H22" s="12" t="n">
        <f aca="false">CashFlow!H8</f>
        <v>278926.35450843</v>
      </c>
    </row>
    <row r="23" customFormat="false" ht="15" hidden="false" customHeight="false" outlineLevel="0" collapsed="false">
      <c r="A23" s="0" t="s">
        <v>36</v>
      </c>
      <c r="B23" s="12" t="n">
        <f aca="false">CashFlow!B14</f>
        <v>64051.8653151465</v>
      </c>
      <c r="C23" s="12" t="n">
        <f aca="false">CashFlow!C14</f>
        <v>-7956.13468485349</v>
      </c>
      <c r="D23" s="12" t="n">
        <f aca="false">CashFlow!D14</f>
        <v>65829.8653151465</v>
      </c>
      <c r="E23" s="12" t="n">
        <f aca="false">CashFlow!E14</f>
        <v>72357.2053151465</v>
      </c>
      <c r="F23" s="12" t="n">
        <f aca="false">CashFlow!F14</f>
        <v>79054.7155151465</v>
      </c>
      <c r="G23" s="12" t="n">
        <f aca="false">CashFlow!G14</f>
        <v>85926.8597711464</v>
      </c>
      <c r="H23" s="12" t="n">
        <f aca="false">CashFlow!H14</f>
        <v>92978.2198235764</v>
      </c>
    </row>
    <row r="24" customFormat="false" ht="15" hidden="false" customHeight="false" outlineLevel="0" collapsed="false">
      <c r="A24" s="0" t="s">
        <v>37</v>
      </c>
      <c r="B24" s="12" t="n">
        <f aca="false">CashFlow!B23</f>
        <v>223284.586234503</v>
      </c>
      <c r="C24" s="12" t="n">
        <f aca="false">CashFlow!C23</f>
        <v>-6921.40675013896</v>
      </c>
      <c r="D24" s="12" t="n">
        <f aca="false">CashFlow!D23</f>
        <v>38170.4759373461</v>
      </c>
      <c r="E24" s="12" t="n">
        <f aca="false">CashFlow!E23</f>
        <v>40799.7834134041</v>
      </c>
      <c r="F24" s="12" t="n">
        <f aca="false">CashFlow!F23</f>
        <v>43440.9142208681</v>
      </c>
      <c r="G24" s="12" t="n">
        <f aca="false">CashFlow!G23</f>
        <v>46090.5453238334</v>
      </c>
      <c r="H24" s="12" t="n">
        <f aca="false">CashFlow!H23</f>
        <v>48745.0333221968</v>
      </c>
    </row>
    <row r="25" customFormat="false" ht="15" hidden="false" customHeight="false" outlineLevel="0" collapsed="false">
      <c r="A25" s="0" t="s">
        <v>38</v>
      </c>
      <c r="B25" s="10" t="n">
        <f aca="false">CashFlow!B25</f>
        <v>1.34446091875943</v>
      </c>
      <c r="C25" s="10" t="n">
        <f aca="false">CashFlow!C25</f>
        <v>0.957213151407313</v>
      </c>
      <c r="D25" s="10" t="n">
        <f aca="false">CashFlow!D25</f>
        <v>1.35402272481365</v>
      </c>
      <c r="E25" s="10" t="n">
        <f aca="false">CashFlow!E25</f>
        <v>1.38912573894747</v>
      </c>
      <c r="F25" s="10" t="n">
        <f aca="false">CashFlow!F25</f>
        <v>1.42514390181504</v>
      </c>
      <c r="G25" s="10" t="n">
        <f aca="false">CashFlow!G25</f>
        <v>1.46210121933611</v>
      </c>
      <c r="H25" s="10" t="n">
        <f aca="false">CashFlow!H25</f>
        <v>1.50002233139449</v>
      </c>
    </row>
  </sheetData>
  <mergeCells count="6">
    <mergeCell ref="A1:E1"/>
    <mergeCell ref="A2:E2"/>
    <mergeCell ref="A4:B4"/>
    <mergeCell ref="D4:E4"/>
    <mergeCell ref="A12:E1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4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1" t="s">
        <v>39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</row>
    <row r="4" customFormat="false" ht="21.75" hidden="false" customHeight="true" outlineLevel="0" collapsed="false">
      <c r="A4" s="15" t="s">
        <v>41</v>
      </c>
      <c r="B4" s="15"/>
      <c r="C4" s="15"/>
      <c r="D4" s="15"/>
      <c r="E4" s="15"/>
    </row>
    <row r="5" customFormat="false" ht="15" hidden="false" customHeight="false" outlineLevel="0" collapsed="false">
      <c r="A5" s="16" t="s">
        <v>4</v>
      </c>
      <c r="B5" s="17" t="n">
        <v>2650000</v>
      </c>
      <c r="E5" s="18" t="s">
        <v>42</v>
      </c>
    </row>
    <row r="6" customFormat="false" ht="15" hidden="false" customHeight="false" outlineLevel="0" collapsed="false">
      <c r="A6" s="16" t="s">
        <v>43</v>
      </c>
      <c r="B6" s="17" t="n">
        <v>350000</v>
      </c>
      <c r="E6" s="18" t="s">
        <v>44</v>
      </c>
    </row>
    <row r="7" customFormat="false" ht="15" hidden="false" customHeight="false" outlineLevel="0" collapsed="false">
      <c r="A7" s="16" t="s">
        <v>45</v>
      </c>
      <c r="B7" s="17" t="n">
        <v>30000</v>
      </c>
      <c r="E7" s="18" t="s">
        <v>46</v>
      </c>
    </row>
    <row r="8" customFormat="false" ht="15" hidden="false" customHeight="false" outlineLevel="0" collapsed="false">
      <c r="A8" s="16" t="s">
        <v>47</v>
      </c>
      <c r="B8" s="19" t="n">
        <f aca="false">B25*0.0025</f>
        <v>38.7391947260111</v>
      </c>
      <c r="E8" s="18" t="s">
        <v>48</v>
      </c>
    </row>
    <row r="9" customFormat="false" ht="15" hidden="false" customHeight="false" outlineLevel="0" collapsed="false">
      <c r="A9" s="7" t="s">
        <v>10</v>
      </c>
      <c r="B9" s="8" t="n">
        <f aca="false">B5+B6+B7+B8</f>
        <v>3030038.73919473</v>
      </c>
    </row>
    <row r="11" customFormat="false" ht="21.75" hidden="false" customHeight="true" outlineLevel="0" collapsed="false">
      <c r="A11" s="15" t="s">
        <v>49</v>
      </c>
      <c r="B11" s="15"/>
      <c r="C11" s="15"/>
      <c r="D11" s="15"/>
      <c r="E11" s="15"/>
    </row>
    <row r="12" customFormat="false" ht="15" hidden="false" customHeight="false" outlineLevel="0" collapsed="false">
      <c r="B12" s="20" t="s">
        <v>50</v>
      </c>
      <c r="C12" s="20" t="s">
        <v>51</v>
      </c>
    </row>
    <row r="13" customFormat="false" ht="15" hidden="false" customHeight="false" outlineLevel="0" collapsed="false">
      <c r="A13" s="16" t="s">
        <v>52</v>
      </c>
      <c r="B13" s="21" t="n">
        <v>0.85</v>
      </c>
      <c r="C13" s="21" t="n">
        <v>0.8</v>
      </c>
    </row>
    <row r="14" customFormat="false" ht="15" hidden="false" customHeight="false" outlineLevel="0" collapsed="false">
      <c r="A14" s="16" t="s">
        <v>7</v>
      </c>
      <c r="B14" s="17" t="n">
        <v>2252500</v>
      </c>
      <c r="C14" s="17" t="n">
        <v>2120000</v>
      </c>
      <c r="E14" s="18" t="s">
        <v>53</v>
      </c>
    </row>
    <row r="15" customFormat="false" ht="15" hidden="false" customHeight="false" outlineLevel="0" collapsed="false">
      <c r="A15" s="16" t="s">
        <v>54</v>
      </c>
      <c r="B15" s="22" t="n">
        <v>0.0625</v>
      </c>
      <c r="C15" s="22" t="n">
        <v>0.0625</v>
      </c>
      <c r="E15" s="18" t="s">
        <v>55</v>
      </c>
    </row>
    <row r="16" customFormat="false" ht="15" hidden="false" customHeight="false" outlineLevel="0" collapsed="false">
      <c r="A16" s="16" t="s">
        <v>56</v>
      </c>
      <c r="B16" s="22" t="n">
        <v>0.0584</v>
      </c>
      <c r="C16" s="22" t="n">
        <v>0.0584</v>
      </c>
      <c r="E16" s="18" t="s">
        <v>57</v>
      </c>
    </row>
    <row r="17" customFormat="false" ht="15" hidden="false" customHeight="false" outlineLevel="0" collapsed="false">
      <c r="A17" s="16" t="s">
        <v>58</v>
      </c>
      <c r="B17" s="23" t="n">
        <v>240</v>
      </c>
      <c r="C17" s="23" t="n">
        <v>240</v>
      </c>
      <c r="E17" s="18" t="s">
        <v>59</v>
      </c>
    </row>
    <row r="18" customFormat="false" ht="15" hidden="false" customHeight="false" outlineLevel="0" collapsed="false">
      <c r="A18" s="16" t="s">
        <v>60</v>
      </c>
      <c r="B18" s="23" t="n">
        <v>60</v>
      </c>
      <c r="C18" s="23" t="n">
        <v>60</v>
      </c>
      <c r="E18" s="18" t="s">
        <v>61</v>
      </c>
    </row>
    <row r="19" customFormat="false" ht="15" hidden="false" customHeight="false" outlineLevel="0" collapsed="false">
      <c r="A19" s="16" t="s">
        <v>62</v>
      </c>
      <c r="B19" s="21" t="n">
        <v>0.0025</v>
      </c>
      <c r="C19" s="21" t="n">
        <v>0.0025</v>
      </c>
      <c r="E19" s="18" t="s">
        <v>63</v>
      </c>
    </row>
    <row r="21" customFormat="false" ht="15" hidden="false" customHeight="false" outlineLevel="0" collapsed="false">
      <c r="A21" s="16" t="s">
        <v>64</v>
      </c>
      <c r="B21" s="24" t="s">
        <v>65</v>
      </c>
      <c r="E21" s="18" t="s">
        <v>66</v>
      </c>
    </row>
    <row r="22" customFormat="false" ht="15" hidden="false" customHeight="false" outlineLevel="0" collapsed="false">
      <c r="A22" s="16" t="s">
        <v>67</v>
      </c>
      <c r="B22" s="24" t="s">
        <v>68</v>
      </c>
      <c r="E22" s="18" t="s">
        <v>69</v>
      </c>
    </row>
    <row r="23" customFormat="false" ht="15" hidden="false" customHeight="false" outlineLevel="0" collapsed="false">
      <c r="A23" s="7" t="s">
        <v>70</v>
      </c>
      <c r="B23" s="25" t="n">
        <f aca="false">IF(B21="A",B14,C14)</f>
        <v>2120000</v>
      </c>
    </row>
    <row r="24" customFormat="false" ht="15" hidden="false" customHeight="false" outlineLevel="0" collapsed="false">
      <c r="A24" s="7" t="s">
        <v>71</v>
      </c>
      <c r="B24" s="26" t="n">
        <f aca="false">IF(B22="Fixed",IF(B21="A",B15,C15),IF(B21="A",B16,C16))</f>
        <v>0.0625</v>
      </c>
    </row>
    <row r="25" customFormat="false" ht="15" hidden="false" customHeight="false" outlineLevel="0" collapsed="false">
      <c r="A25" s="7" t="s">
        <v>72</v>
      </c>
      <c r="B25" s="25" t="n">
        <f aca="false">-PMT(B24/12,B17,B23)</f>
        <v>15495.6778904045</v>
      </c>
    </row>
    <row r="26" customFormat="false" ht="15" hidden="false" customHeight="false" outlineLevel="0" collapsed="false">
      <c r="A26" s="7" t="s">
        <v>73</v>
      </c>
      <c r="B26" s="25" t="n">
        <f aca="false">B25*12</f>
        <v>185948.134684854</v>
      </c>
    </row>
    <row r="27" customFormat="false" ht="15" hidden="false" customHeight="false" outlineLevel="0" collapsed="false">
      <c r="A27" s="7" t="s">
        <v>13</v>
      </c>
      <c r="B27" s="8" t="n">
        <f aca="false">B9-B23</f>
        <v>910038.739194726</v>
      </c>
    </row>
    <row r="29" customFormat="false" ht="21.75" hidden="false" customHeight="true" outlineLevel="0" collapsed="false">
      <c r="A29" s="15" t="s">
        <v>74</v>
      </c>
      <c r="B29" s="15"/>
      <c r="C29" s="15"/>
      <c r="D29" s="15"/>
      <c r="E29" s="15"/>
    </row>
    <row r="30" customFormat="false" ht="15" hidden="false" customHeight="false" outlineLevel="0" collapsed="false">
      <c r="A30" s="16" t="s">
        <v>75</v>
      </c>
      <c r="B30" s="17" t="n">
        <v>19000</v>
      </c>
      <c r="E30" s="18" t="s">
        <v>76</v>
      </c>
    </row>
    <row r="31" customFormat="false" ht="15" hidden="false" customHeight="false" outlineLevel="0" collapsed="false">
      <c r="A31" s="16" t="s">
        <v>77</v>
      </c>
      <c r="B31" s="17" t="n">
        <v>12000</v>
      </c>
      <c r="E31" s="18" t="s">
        <v>78</v>
      </c>
    </row>
    <row r="32" customFormat="false" ht="15" hidden="false" customHeight="false" outlineLevel="0" collapsed="false">
      <c r="A32" s="16" t="s">
        <v>79</v>
      </c>
      <c r="B32" s="17" t="n">
        <v>18000</v>
      </c>
      <c r="E32" s="18" t="s">
        <v>80</v>
      </c>
    </row>
    <row r="33" customFormat="false" ht="15" hidden="false" customHeight="false" outlineLevel="0" collapsed="false">
      <c r="A33" s="16" t="s">
        <v>81</v>
      </c>
      <c r="B33" s="21" t="n">
        <v>0.025</v>
      </c>
      <c r="E33" s="18" t="s">
        <v>82</v>
      </c>
    </row>
    <row r="35" customFormat="false" ht="21.75" hidden="false" customHeight="true" outlineLevel="0" collapsed="false">
      <c r="A35" s="15" t="s">
        <v>83</v>
      </c>
      <c r="B35" s="15"/>
      <c r="C35" s="15"/>
      <c r="D35" s="15"/>
      <c r="E35" s="15"/>
    </row>
    <row r="36" customFormat="false" ht="15" hidden="false" customHeight="false" outlineLevel="0" collapsed="false">
      <c r="A36" s="16" t="s">
        <v>84</v>
      </c>
      <c r="B36" s="23" t="n">
        <v>16</v>
      </c>
      <c r="E36" s="18" t="s">
        <v>85</v>
      </c>
    </row>
    <row r="37" customFormat="false" ht="15" hidden="false" customHeight="false" outlineLevel="0" collapsed="false">
      <c r="A37" s="16" t="s">
        <v>86</v>
      </c>
      <c r="B37" s="17" t="n">
        <v>700</v>
      </c>
      <c r="E37" s="18" t="s">
        <v>87</v>
      </c>
    </row>
    <row r="38" customFormat="false" ht="15" hidden="false" customHeight="false" outlineLevel="0" collapsed="false">
      <c r="A38" s="16" t="s">
        <v>88</v>
      </c>
      <c r="B38" s="21" t="n">
        <v>0.85</v>
      </c>
      <c r="E38" s="18" t="s">
        <v>89</v>
      </c>
    </row>
    <row r="39" customFormat="false" ht="15" hidden="false" customHeight="false" outlineLevel="0" collapsed="false">
      <c r="A39" s="16" t="s">
        <v>90</v>
      </c>
      <c r="B39" s="21" t="n">
        <v>0.55</v>
      </c>
      <c r="E39" s="18" t="s">
        <v>91</v>
      </c>
    </row>
    <row r="40" customFormat="false" ht="15" hidden="false" customHeight="false" outlineLevel="0" collapsed="false">
      <c r="A40" s="16" t="s">
        <v>92</v>
      </c>
      <c r="B40" s="21" t="n">
        <v>0.75</v>
      </c>
      <c r="E40" s="18" t="s">
        <v>93</v>
      </c>
    </row>
    <row r="41" customFormat="false" ht="15" hidden="false" customHeight="false" outlineLevel="0" collapsed="false">
      <c r="A41" s="16" t="s">
        <v>94</v>
      </c>
      <c r="B41" s="21" t="n">
        <v>0.03</v>
      </c>
      <c r="E41" s="18" t="s">
        <v>95</v>
      </c>
    </row>
    <row r="43" customFormat="false" ht="21.75" hidden="false" customHeight="true" outlineLevel="0" collapsed="false">
      <c r="A43" s="15" t="s">
        <v>96</v>
      </c>
      <c r="B43" s="15"/>
      <c r="C43" s="15"/>
      <c r="D43" s="15"/>
      <c r="E43" s="15"/>
    </row>
    <row r="44" customFormat="false" ht="15" hidden="false" customHeight="false" outlineLevel="0" collapsed="false">
      <c r="A44" s="16" t="s">
        <v>97</v>
      </c>
      <c r="B44" s="17" t="n">
        <v>10500</v>
      </c>
      <c r="E44" s="18" t="s">
        <v>98</v>
      </c>
    </row>
    <row r="45" customFormat="false" ht="15" hidden="false" customHeight="false" outlineLevel="0" collapsed="false">
      <c r="A45" s="16" t="s">
        <v>99</v>
      </c>
      <c r="B45" s="17" t="n">
        <v>3000</v>
      </c>
      <c r="E45" s="18" t="s">
        <v>100</v>
      </c>
    </row>
    <row r="46" customFormat="false" ht="15" hidden="false" customHeight="false" outlineLevel="0" collapsed="false">
      <c r="A46" s="16" t="s">
        <v>101</v>
      </c>
      <c r="B46" s="17" t="n">
        <v>18000</v>
      </c>
      <c r="E46" s="18" t="s">
        <v>102</v>
      </c>
    </row>
    <row r="47" customFormat="false" ht="15" hidden="false" customHeight="false" outlineLevel="0" collapsed="false">
      <c r="A47" s="16" t="s">
        <v>103</v>
      </c>
      <c r="B47" s="17" t="n">
        <v>7200</v>
      </c>
      <c r="E47" s="18" t="s">
        <v>104</v>
      </c>
    </row>
    <row r="48" customFormat="false" ht="15" hidden="false" customHeight="false" outlineLevel="0" collapsed="false">
      <c r="A48" s="16" t="s">
        <v>105</v>
      </c>
      <c r="B48" s="17" t="n">
        <v>20000</v>
      </c>
      <c r="E48" s="18" t="s">
        <v>106</v>
      </c>
    </row>
    <row r="49" customFormat="false" ht="15" hidden="false" customHeight="false" outlineLevel="0" collapsed="false">
      <c r="A49" s="16" t="s">
        <v>107</v>
      </c>
      <c r="B49" s="17" t="n">
        <v>12000</v>
      </c>
      <c r="E49" s="18" t="s">
        <v>108</v>
      </c>
    </row>
    <row r="50" customFormat="false" ht="15" hidden="false" customHeight="false" outlineLevel="0" collapsed="false">
      <c r="A50" s="16" t="s">
        <v>109</v>
      </c>
      <c r="B50" s="17" t="n">
        <v>5000</v>
      </c>
      <c r="E50" s="18" t="s">
        <v>110</v>
      </c>
    </row>
    <row r="51" customFormat="false" ht="15" hidden="false" customHeight="false" outlineLevel="0" collapsed="false">
      <c r="A51" s="16" t="s">
        <v>111</v>
      </c>
      <c r="B51" s="17" t="n">
        <v>6000</v>
      </c>
      <c r="E51" s="18" t="s">
        <v>112</v>
      </c>
    </row>
    <row r="52" customFormat="false" ht="15" hidden="false" customHeight="false" outlineLevel="0" collapsed="false">
      <c r="A52" s="16" t="s">
        <v>113</v>
      </c>
      <c r="B52" s="17" t="n">
        <v>4000</v>
      </c>
    </row>
    <row r="53" customFormat="false" ht="15" hidden="false" customHeight="false" outlineLevel="0" collapsed="false">
      <c r="A53" s="16" t="s">
        <v>114</v>
      </c>
      <c r="B53" s="21" t="n">
        <v>0.05</v>
      </c>
      <c r="E53" s="18" t="s">
        <v>115</v>
      </c>
    </row>
    <row r="54" customFormat="false" ht="15" hidden="false" customHeight="false" outlineLevel="0" collapsed="false">
      <c r="A54" s="16" t="s">
        <v>116</v>
      </c>
      <c r="B54" s="17" t="n">
        <v>8000</v>
      </c>
      <c r="E54" s="18" t="s">
        <v>117</v>
      </c>
    </row>
    <row r="55" customFormat="false" ht="15" hidden="false" customHeight="false" outlineLevel="0" collapsed="false">
      <c r="A55" s="16" t="s">
        <v>118</v>
      </c>
      <c r="B55" s="17" t="n">
        <v>45000</v>
      </c>
      <c r="E55" s="18" t="s">
        <v>119</v>
      </c>
    </row>
    <row r="56" customFormat="false" ht="15" hidden="false" customHeight="false" outlineLevel="0" collapsed="false">
      <c r="A56" s="16" t="s">
        <v>120</v>
      </c>
      <c r="B56" s="17" t="n">
        <v>50000</v>
      </c>
      <c r="E56" s="18" t="s">
        <v>121</v>
      </c>
    </row>
    <row r="57" customFormat="false" ht="15" hidden="false" customHeight="false" outlineLevel="0" collapsed="false">
      <c r="A57" s="16" t="s">
        <v>122</v>
      </c>
      <c r="B57" s="21" t="n">
        <v>0.03</v>
      </c>
      <c r="E57" s="18" t="s">
        <v>123</v>
      </c>
    </row>
    <row r="59" customFormat="false" ht="21.75" hidden="false" customHeight="true" outlineLevel="0" collapsed="false">
      <c r="A59" s="15" t="s">
        <v>124</v>
      </c>
      <c r="B59" s="15"/>
      <c r="C59" s="15"/>
      <c r="D59" s="15"/>
      <c r="E59" s="15"/>
    </row>
    <row r="60" customFormat="false" ht="15" hidden="false" customHeight="false" outlineLevel="0" collapsed="false">
      <c r="A60" s="16" t="s">
        <v>125</v>
      </c>
      <c r="B60" s="21" t="n">
        <v>0.15</v>
      </c>
      <c r="E60" s="18" t="s">
        <v>126</v>
      </c>
    </row>
    <row r="61" customFormat="false" ht="15" hidden="false" customHeight="false" outlineLevel="0" collapsed="false">
      <c r="A61" s="16" t="s">
        <v>127</v>
      </c>
      <c r="B61" s="21" t="n">
        <v>0.12</v>
      </c>
      <c r="E61" s="18" t="s">
        <v>128</v>
      </c>
    </row>
    <row r="62" customFormat="false" ht="15" hidden="false" customHeight="false" outlineLevel="0" collapsed="false">
      <c r="A62" s="16" t="s">
        <v>129</v>
      </c>
      <c r="B62" s="21" t="n">
        <v>0.08</v>
      </c>
      <c r="E62" s="18" t="s">
        <v>130</v>
      </c>
    </row>
    <row r="63" customFormat="false" ht="15" hidden="false" customHeight="false" outlineLevel="0" collapsed="false">
      <c r="A63" s="16" t="s">
        <v>131</v>
      </c>
      <c r="B63" s="21" t="n">
        <v>0.8</v>
      </c>
      <c r="E63" s="18" t="s">
        <v>132</v>
      </c>
    </row>
    <row r="64" customFormat="false" ht="15" hidden="false" customHeight="false" outlineLevel="0" collapsed="false">
      <c r="A64" s="16" t="s">
        <v>133</v>
      </c>
      <c r="B64" s="21" t="n">
        <v>1</v>
      </c>
      <c r="E64" s="18" t="s">
        <v>134</v>
      </c>
    </row>
    <row r="66" customFormat="false" ht="21.75" hidden="false" customHeight="true" outlineLevel="0" collapsed="false">
      <c r="A66" s="15" t="s">
        <v>135</v>
      </c>
      <c r="B66" s="15"/>
      <c r="C66" s="15"/>
      <c r="D66" s="15"/>
      <c r="E66" s="15"/>
    </row>
    <row r="67" customFormat="false" ht="15" hidden="false" customHeight="false" outlineLevel="0" collapsed="false">
      <c r="A67" s="16" t="s">
        <v>136</v>
      </c>
      <c r="B67" s="21" t="n">
        <v>0.37</v>
      </c>
      <c r="E67" s="18" t="s">
        <v>137</v>
      </c>
    </row>
    <row r="68" customFormat="false" ht="15" hidden="false" customHeight="false" outlineLevel="0" collapsed="false">
      <c r="A68" s="16" t="s">
        <v>138</v>
      </c>
      <c r="B68" s="21" t="n">
        <v>0.2</v>
      </c>
      <c r="E68" s="18" t="s">
        <v>139</v>
      </c>
    </row>
    <row r="69" customFormat="false" ht="15" hidden="false" customHeight="false" outlineLevel="0" collapsed="false">
      <c r="A69" s="16" t="s">
        <v>140</v>
      </c>
      <c r="B69" s="21" t="n">
        <v>0.25</v>
      </c>
      <c r="E69" s="18" t="s">
        <v>141</v>
      </c>
    </row>
    <row r="70" customFormat="false" ht="15" hidden="false" customHeight="false" outlineLevel="0" collapsed="false">
      <c r="A70" s="16" t="s">
        <v>142</v>
      </c>
      <c r="B70" s="27" t="s">
        <v>143</v>
      </c>
      <c r="E70" s="18" t="s">
        <v>144</v>
      </c>
    </row>
    <row r="71" customFormat="false" ht="15" hidden="false" customHeight="false" outlineLevel="0" collapsed="false">
      <c r="A71" s="16" t="s">
        <v>145</v>
      </c>
      <c r="B71" s="21" t="n">
        <v>0.085</v>
      </c>
      <c r="E71" s="18" t="s">
        <v>146</v>
      </c>
    </row>
    <row r="72" customFormat="false" ht="15" hidden="false" customHeight="false" outlineLevel="0" collapsed="false">
      <c r="A72" s="16" t="s">
        <v>147</v>
      </c>
      <c r="B72" s="21" t="n">
        <v>0.05</v>
      </c>
      <c r="E72" s="18" t="s">
        <v>148</v>
      </c>
    </row>
  </sheetData>
  <mergeCells count="9">
    <mergeCell ref="A1:E1"/>
    <mergeCell ref="A2:E2"/>
    <mergeCell ref="A4:E4"/>
    <mergeCell ref="A11:E11"/>
    <mergeCell ref="A29:E29"/>
    <mergeCell ref="A35:E35"/>
    <mergeCell ref="A43:E43"/>
    <mergeCell ref="A59:E59"/>
    <mergeCell ref="A66:E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7" min="7" style="0" width="16"/>
    <col collapsed="false" customWidth="true" hidden="false" outlineLevel="0" max="11" min="8" style="0" width="14"/>
  </cols>
  <sheetData>
    <row r="1" customFormat="false" ht="24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3" t="s">
        <v>150</v>
      </c>
      <c r="B3" s="3"/>
      <c r="C3" s="3"/>
      <c r="D3" s="3"/>
      <c r="E3" s="3"/>
      <c r="G3" s="3" t="s">
        <v>151</v>
      </c>
      <c r="H3" s="3"/>
      <c r="I3" s="3"/>
      <c r="J3" s="3"/>
      <c r="K3" s="3"/>
    </row>
    <row r="4" customFormat="false" ht="15" hidden="false" customHeight="false" outlineLevel="0" collapsed="false">
      <c r="A4" s="14" t="s">
        <v>26</v>
      </c>
      <c r="B4" s="14" t="s">
        <v>152</v>
      </c>
      <c r="C4" s="14" t="s">
        <v>153</v>
      </c>
      <c r="D4" s="14" t="s">
        <v>154</v>
      </c>
      <c r="E4" s="14" t="s">
        <v>155</v>
      </c>
      <c r="G4" s="14" t="s">
        <v>26</v>
      </c>
      <c r="H4" s="14" t="s">
        <v>152</v>
      </c>
      <c r="I4" s="14" t="s">
        <v>153</v>
      </c>
      <c r="J4" s="14" t="s">
        <v>154</v>
      </c>
      <c r="K4" s="14" t="s">
        <v>155</v>
      </c>
    </row>
    <row r="5" customFormat="false" ht="15" hidden="false" customHeight="false" outlineLevel="0" collapsed="false">
      <c r="A5" s="16" t="n">
        <v>1</v>
      </c>
      <c r="B5" s="12" t="n">
        <f aca="false">Assumptions!$B$14</f>
        <v>2252500</v>
      </c>
      <c r="C5" s="19" t="n">
        <f aca="false">-CUMIPMT(Assumptions!$B$15/12,Assumptions!$B$17,Assumptions!$B$14,1,12,0)</f>
        <v>139125.915928333</v>
      </c>
      <c r="D5" s="19" t="n">
        <f aca="false">-CUMPRINC(Assumptions!$B$15/12,Assumptions!$B$17,Assumptions!$B$14,1,12,0)</f>
        <v>58443.977174324</v>
      </c>
      <c r="E5" s="19" t="n">
        <f aca="false">B5-D5</f>
        <v>2194056.02282568</v>
      </c>
      <c r="G5" s="12" t="n">
        <f aca="false">Assumptions!$C$14</f>
        <v>2120000</v>
      </c>
      <c r="H5" s="19" t="n">
        <f aca="false">-CUMIPMT(Assumptions!$C$15/12,Assumptions!$B$17,Assumptions!$C$14,1,12,0)</f>
        <v>130942.038520784</v>
      </c>
      <c r="I5" s="19" t="n">
        <f aca="false">-CUMPRINC(Assumptions!$C$15/12,Assumptions!$B$17,Assumptions!$C$14,1,12,0)</f>
        <v>55006.0961640697</v>
      </c>
      <c r="J5" s="19" t="n">
        <f aca="false">G5-I5</f>
        <v>2064993.90383593</v>
      </c>
    </row>
    <row r="6" customFormat="false" ht="15" hidden="false" customHeight="false" outlineLevel="0" collapsed="false">
      <c r="A6" s="16" t="n">
        <v>2</v>
      </c>
      <c r="B6" s="19" t="n">
        <f aca="false">E5</f>
        <v>2194056.02282568</v>
      </c>
      <c r="C6" s="19" t="n">
        <f aca="false">-CUMIPMT(Assumptions!$B$15/12,Assumptions!$B$17,Assumptions!$B$14,13,24,0)</f>
        <v>135366.693263668</v>
      </c>
      <c r="D6" s="19" t="n">
        <f aca="false">-CUMPRINC(Assumptions!$B$15/12,Assumptions!$B$17,Assumptions!$B$14,13,24,0)</f>
        <v>62203.1998389886</v>
      </c>
      <c r="E6" s="19" t="n">
        <f aca="false">B6-D6</f>
        <v>2131852.82298669</v>
      </c>
      <c r="G6" s="19" t="n">
        <f aca="false">K5</f>
        <v>0</v>
      </c>
      <c r="H6" s="19" t="n">
        <f aca="false">-CUMIPMT(Assumptions!$C$15/12,Assumptions!$B$17,Assumptions!$C$14,13,24,0)</f>
        <v>127403.9466011</v>
      </c>
      <c r="I6" s="19" t="n">
        <f aca="false">-CUMPRINC(Assumptions!$C$15/12,Assumptions!$B$17,Assumptions!$C$14,13,24,0)</f>
        <v>58544.1880837539</v>
      </c>
      <c r="J6" s="19" t="n">
        <f aca="false">G6-I6</f>
        <v>-58544.1880837539</v>
      </c>
    </row>
    <row r="7" customFormat="false" ht="15" hidden="false" customHeight="false" outlineLevel="0" collapsed="false">
      <c r="A7" s="16" t="n">
        <v>3</v>
      </c>
      <c r="B7" s="19" t="n">
        <f aca="false">E6</f>
        <v>2131852.82298669</v>
      </c>
      <c r="C7" s="19" t="n">
        <f aca="false">-CUMIPMT(Assumptions!$B$15/12,Assumptions!$B$17,Assumptions!$B$14,25,36,0)</f>
        <v>131365.670575703</v>
      </c>
      <c r="D7" s="19" t="n">
        <f aca="false">-CUMPRINC(Assumptions!$B$15/12,Assumptions!$B$17,Assumptions!$B$14,25,36,0)</f>
        <v>66204.2225269537</v>
      </c>
      <c r="E7" s="19" t="n">
        <f aca="false">B7-D7</f>
        <v>2065648.60045973</v>
      </c>
      <c r="G7" s="19" t="n">
        <f aca="false">K6</f>
        <v>0</v>
      </c>
      <c r="H7" s="19" t="n">
        <f aca="false">-CUMIPMT(Assumptions!$C$15/12,Assumptions!$B$17,Assumptions!$C$14,25,36,0)</f>
        <v>123638.278188897</v>
      </c>
      <c r="I7" s="19" t="n">
        <f aca="false">-CUMPRINC(Assumptions!$C$15/12,Assumptions!$B$17,Assumptions!$C$14,25,36,0)</f>
        <v>62309.8564959564</v>
      </c>
      <c r="J7" s="19" t="n">
        <f aca="false">G7-I7</f>
        <v>-62309.8564959564</v>
      </c>
    </row>
    <row r="8" customFormat="false" ht="15" hidden="false" customHeight="false" outlineLevel="0" collapsed="false">
      <c r="A8" s="16" t="n">
        <v>4</v>
      </c>
      <c r="B8" s="19" t="n">
        <f aca="false">E7</f>
        <v>2065648.60045973</v>
      </c>
      <c r="C8" s="19" t="n">
        <f aca="false">-CUMIPMT(Assumptions!$B$15/12,Assumptions!$B$17,Assumptions!$B$14,37,48,0)</f>
        <v>127107.294848167</v>
      </c>
      <c r="D8" s="19" t="n">
        <f aca="false">-CUMPRINC(Assumptions!$B$15/12,Assumptions!$B$17,Assumptions!$B$14,37,48,0)</f>
        <v>70462.5982544898</v>
      </c>
      <c r="E8" s="19" t="n">
        <f aca="false">B8-D8</f>
        <v>1995186.00220524</v>
      </c>
      <c r="G8" s="19" t="n">
        <f aca="false">K7</f>
        <v>0</v>
      </c>
      <c r="H8" s="19" t="n">
        <f aca="false">-CUMIPMT(Assumptions!$C$15/12,Assumptions!$B$17,Assumptions!$C$14,37,48,0)</f>
        <v>119630.395151216</v>
      </c>
      <c r="I8" s="19" t="n">
        <f aca="false">-CUMPRINC(Assumptions!$C$15/12,Assumptions!$B$17,Assumptions!$C$14,37,48,0)</f>
        <v>66317.7395336375</v>
      </c>
      <c r="J8" s="19" t="n">
        <f aca="false">G8-I8</f>
        <v>-66317.7395336375</v>
      </c>
    </row>
    <row r="9" customFormat="false" ht="15" hidden="false" customHeight="false" outlineLevel="0" collapsed="false">
      <c r="A9" s="16" t="n">
        <v>5</v>
      </c>
      <c r="B9" s="19" t="n">
        <f aca="false">E8</f>
        <v>1995186.00220524</v>
      </c>
      <c r="C9" s="19" t="n">
        <f aca="false">-CUMIPMT(Assumptions!$B$15/12,Assumptions!$B$17,Assumptions!$B$14,49,60,0)</f>
        <v>122575.01266656</v>
      </c>
      <c r="D9" s="19" t="n">
        <f aca="false">-CUMPRINC(Assumptions!$B$15/12,Assumptions!$B$17,Assumptions!$B$14,49,60,0)</f>
        <v>74994.8804360968</v>
      </c>
      <c r="E9" s="19" t="n">
        <f aca="false">B9-D9</f>
        <v>1920191.12176915</v>
      </c>
      <c r="G9" s="19" t="n">
        <f aca="false">K8</f>
        <v>0</v>
      </c>
      <c r="H9" s="19" t="n">
        <f aca="false">-CUMIPMT(Assumptions!$C$15/12,Assumptions!$B$17,Assumptions!$C$14,49,60,0)</f>
        <v>115364.717803821</v>
      </c>
      <c r="I9" s="19" t="n">
        <f aca="false">-CUMPRINC(Assumptions!$C$15/12,Assumptions!$B$17,Assumptions!$C$14,49,60,0)</f>
        <v>70583.4168810322</v>
      </c>
      <c r="J9" s="19" t="n">
        <f aca="false">G9-I9</f>
        <v>-70583.4168810322</v>
      </c>
    </row>
    <row r="10" customFormat="false" ht="15" hidden="false" customHeight="false" outlineLevel="0" collapsed="false">
      <c r="A10" s="16" t="n">
        <v>6</v>
      </c>
      <c r="B10" s="19" t="n">
        <f aca="false">E9</f>
        <v>1920191.12176915</v>
      </c>
      <c r="C10" s="19" t="n">
        <f aca="false">-CUMIPMT(Assumptions!$B$15/12,Assumptions!$B$17,Assumptions!$B$14,61,72,0)</f>
        <v>117751.205870724</v>
      </c>
      <c r="D10" s="19" t="n">
        <f aca="false">-CUMPRINC(Assumptions!$B$15/12,Assumptions!$B$17,Assumptions!$B$14,61,72,0)</f>
        <v>79818.6872319327</v>
      </c>
      <c r="E10" s="19" t="n">
        <f aca="false">B10-D10</f>
        <v>1840372.43453721</v>
      </c>
      <c r="G10" s="19" t="n">
        <f aca="false">K9</f>
        <v>0</v>
      </c>
      <c r="H10" s="19" t="n">
        <f aca="false">-CUMIPMT(Assumptions!$C$15/12,Assumptions!$B$17,Assumptions!$C$14,61,72,0)</f>
        <v>110824.664348917</v>
      </c>
      <c r="I10" s="19" t="n">
        <f aca="false">-CUMPRINC(Assumptions!$C$15/12,Assumptions!$B$17,Assumptions!$C$14,61,72,0)</f>
        <v>75123.4703359366</v>
      </c>
      <c r="J10" s="19" t="n">
        <f aca="false">G10-I10</f>
        <v>-75123.4703359366</v>
      </c>
    </row>
    <row r="11" customFormat="false" ht="15" hidden="false" customHeight="false" outlineLevel="0" collapsed="false">
      <c r="A11" s="16" t="n">
        <v>7</v>
      </c>
      <c r="B11" s="19" t="n">
        <f aca="false">E10</f>
        <v>1840372.43453721</v>
      </c>
      <c r="C11" s="19" t="n">
        <f aca="false">-CUMIPMT(Assumptions!$B$15/12,Assumptions!$B$17,Assumptions!$B$14,73,84,0)</f>
        <v>112617.12306847</v>
      </c>
      <c r="D11" s="19" t="n">
        <f aca="false">-CUMPRINC(Assumptions!$B$15/12,Assumptions!$B$17,Assumptions!$B$14,73,84,0)</f>
        <v>84952.7700341872</v>
      </c>
      <c r="E11" s="19" t="n">
        <f aca="false">B11-D11</f>
        <v>1755419.66450303</v>
      </c>
      <c r="G11" s="19" t="n">
        <f aca="false">K10</f>
        <v>0</v>
      </c>
      <c r="H11" s="19" t="n">
        <f aca="false">-CUMIPMT(Assumptions!$C$15/12,Assumptions!$B$17,Assumptions!$C$14,73,84,0)</f>
        <v>105992.586417383</v>
      </c>
      <c r="I11" s="19" t="n">
        <f aca="false">-CUMPRINC(Assumptions!$C$15/12,Assumptions!$B$17,Assumptions!$C$14,73,84,0)</f>
        <v>79955.5482674702</v>
      </c>
      <c r="J11" s="19" t="n">
        <f aca="false">G11-I11</f>
        <v>-79955.5482674702</v>
      </c>
    </row>
    <row r="13" customFormat="false" ht="15" hidden="false" customHeight="false" outlineLevel="0" collapsed="false">
      <c r="A13" s="2" t="s">
        <v>156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5" customFormat="false" ht="15" hidden="false" customHeight="false" outlineLevel="0" collapsed="false">
      <c r="A15" s="3" t="s">
        <v>157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14" t="s">
        <v>26</v>
      </c>
      <c r="B16" s="14" t="s">
        <v>152</v>
      </c>
      <c r="C16" s="14" t="s">
        <v>153</v>
      </c>
      <c r="D16" s="14" t="s">
        <v>154</v>
      </c>
      <c r="E16" s="14" t="s">
        <v>158</v>
      </c>
      <c r="F16" s="14" t="s">
        <v>155</v>
      </c>
    </row>
    <row r="17" customFormat="false" ht="15" hidden="false" customHeight="false" outlineLevel="0" collapsed="false">
      <c r="A17" s="16" t="n">
        <v>1</v>
      </c>
      <c r="B17" s="12" t="n">
        <f aca="false">Assumptions!$B$23</f>
        <v>2120000</v>
      </c>
      <c r="C17" s="19" t="n">
        <f aca="false">-CUMIPMT(Assumptions!$B$24/12,Assumptions!$B$17,Assumptions!$B$23,1,12,0)</f>
        <v>130942.038520784</v>
      </c>
      <c r="D17" s="19" t="n">
        <f aca="false">-CUMPRINC(Assumptions!$B$24/12,Assumptions!$B$17,Assumptions!$B$23,1,12,0)</f>
        <v>55006.0961640697</v>
      </c>
      <c r="E17" s="19" t="n">
        <f aca="false">C17+D17</f>
        <v>185948.134684854</v>
      </c>
      <c r="F17" s="19" t="n">
        <f aca="false">B17-D17</f>
        <v>2064993.90383593</v>
      </c>
    </row>
    <row r="18" customFormat="false" ht="15" hidden="false" customHeight="false" outlineLevel="0" collapsed="false">
      <c r="A18" s="16" t="n">
        <v>2</v>
      </c>
      <c r="B18" s="19" t="n">
        <f aca="false">F17</f>
        <v>2064993.90383593</v>
      </c>
      <c r="C18" s="19" t="n">
        <f aca="false">-CUMIPMT(Assumptions!$B$24/12,Assumptions!$B$17,Assumptions!$B$23,13,24,0)</f>
        <v>127403.9466011</v>
      </c>
      <c r="D18" s="19" t="n">
        <f aca="false">-CUMPRINC(Assumptions!$B$24/12,Assumptions!$B$17,Assumptions!$B$23,13,24,0)</f>
        <v>58544.1880837539</v>
      </c>
      <c r="E18" s="19" t="n">
        <f aca="false">C18+D18</f>
        <v>185948.134684854</v>
      </c>
      <c r="F18" s="19" t="n">
        <f aca="false">B18-D18</f>
        <v>2006449.71575218</v>
      </c>
    </row>
    <row r="19" customFormat="false" ht="15" hidden="false" customHeight="false" outlineLevel="0" collapsed="false">
      <c r="A19" s="16" t="n">
        <v>3</v>
      </c>
      <c r="B19" s="19" t="n">
        <f aca="false">F18</f>
        <v>2006449.71575218</v>
      </c>
      <c r="C19" s="19" t="n">
        <f aca="false">-CUMIPMT(Assumptions!$B$24/12,Assumptions!$B$17,Assumptions!$B$23,25,36,0)</f>
        <v>123638.278188897</v>
      </c>
      <c r="D19" s="19" t="n">
        <f aca="false">-CUMPRINC(Assumptions!$B$24/12,Assumptions!$B$17,Assumptions!$B$23,25,36,0)</f>
        <v>62309.8564959564</v>
      </c>
      <c r="E19" s="19" t="n">
        <f aca="false">C19+D19</f>
        <v>185948.134684854</v>
      </c>
      <c r="F19" s="19" t="n">
        <f aca="false">B19-D19</f>
        <v>1944139.85925622</v>
      </c>
    </row>
    <row r="20" customFormat="false" ht="15" hidden="false" customHeight="false" outlineLevel="0" collapsed="false">
      <c r="A20" s="16" t="n">
        <v>4</v>
      </c>
      <c r="B20" s="19" t="n">
        <f aca="false">F19</f>
        <v>1944139.85925622</v>
      </c>
      <c r="C20" s="19" t="n">
        <f aca="false">-CUMIPMT(Assumptions!$B$24/12,Assumptions!$B$17,Assumptions!$B$23,37,48,0)</f>
        <v>119630.395151216</v>
      </c>
      <c r="D20" s="19" t="n">
        <f aca="false">-CUMPRINC(Assumptions!$B$24/12,Assumptions!$B$17,Assumptions!$B$23,37,48,0)</f>
        <v>66317.7395336375</v>
      </c>
      <c r="E20" s="19" t="n">
        <f aca="false">C20+D20</f>
        <v>185948.134684854</v>
      </c>
      <c r="F20" s="19" t="n">
        <f aca="false">B20-D20</f>
        <v>1877822.11972258</v>
      </c>
    </row>
    <row r="21" customFormat="false" ht="15" hidden="false" customHeight="false" outlineLevel="0" collapsed="false">
      <c r="A21" s="16" t="n">
        <v>5</v>
      </c>
      <c r="B21" s="19" t="n">
        <f aca="false">F20</f>
        <v>1877822.11972258</v>
      </c>
      <c r="C21" s="19" t="n">
        <f aca="false">-CUMIPMT(Assumptions!$B$24/12,Assumptions!$B$17,Assumptions!$B$23,49,60,0)</f>
        <v>115364.717803821</v>
      </c>
      <c r="D21" s="19" t="n">
        <f aca="false">-CUMPRINC(Assumptions!$B$24/12,Assumptions!$B$17,Assumptions!$B$23,49,60,0)</f>
        <v>70583.4168810322</v>
      </c>
      <c r="E21" s="19" t="n">
        <f aca="false">C21+D21</f>
        <v>185948.134684854</v>
      </c>
      <c r="F21" s="19" t="n">
        <f aca="false">B21-D21</f>
        <v>1807238.70284155</v>
      </c>
    </row>
    <row r="22" customFormat="false" ht="15" hidden="false" customHeight="false" outlineLevel="0" collapsed="false">
      <c r="A22" s="16" t="n">
        <v>6</v>
      </c>
      <c r="B22" s="19" t="n">
        <f aca="false">F21</f>
        <v>1807238.70284155</v>
      </c>
      <c r="C22" s="19" t="n">
        <f aca="false">-CUMIPMT(Assumptions!$B$24/12,Assumptions!$B$17,Assumptions!$B$23,61,72,0)</f>
        <v>110824.664348917</v>
      </c>
      <c r="D22" s="19" t="n">
        <f aca="false">-CUMPRINC(Assumptions!$B$24/12,Assumptions!$B$17,Assumptions!$B$23,61,72,0)</f>
        <v>75123.4703359366</v>
      </c>
      <c r="E22" s="19" t="n">
        <f aca="false">C22+D22</f>
        <v>185948.134684854</v>
      </c>
      <c r="F22" s="19" t="n">
        <f aca="false">B22-D22</f>
        <v>1732115.23250561</v>
      </c>
    </row>
    <row r="23" customFormat="false" ht="15" hidden="false" customHeight="false" outlineLevel="0" collapsed="false">
      <c r="A23" s="16" t="n">
        <v>7</v>
      </c>
      <c r="B23" s="19" t="n">
        <f aca="false">F22</f>
        <v>1732115.23250561</v>
      </c>
      <c r="C23" s="19" t="n">
        <f aca="false">-CUMIPMT(Assumptions!$B$24/12,Assumptions!$B$17,Assumptions!$B$23,73,84,0)</f>
        <v>105992.586417383</v>
      </c>
      <c r="D23" s="19" t="n">
        <f aca="false">-CUMPRINC(Assumptions!$B$24/12,Assumptions!$B$17,Assumptions!$B$23,73,84,0)</f>
        <v>79955.5482674702</v>
      </c>
      <c r="E23" s="19" t="n">
        <f aca="false">C23+D23</f>
        <v>185948.134684854</v>
      </c>
      <c r="F23" s="19" t="n">
        <f aca="false">B23-D23</f>
        <v>1652159.68423814</v>
      </c>
    </row>
  </sheetData>
  <mergeCells count="5">
    <mergeCell ref="A1:K1"/>
    <mergeCell ref="A3:E3"/>
    <mergeCell ref="G3:K3"/>
    <mergeCell ref="A13:K1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4"/>
    <col collapsed="false" customWidth="true" hidden="false" outlineLevel="0" max="9" min="9" style="0" width="4"/>
    <col collapsed="false" customWidth="true" hidden="false" outlineLevel="0" max="10" min="10" style="0" width="50"/>
  </cols>
  <sheetData>
    <row r="1" customFormat="false" ht="24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0"/>
      <c r="B3" s="14" t="s">
        <v>27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</row>
    <row r="4" customFormat="false" ht="15" hidden="false" customHeight="false" outlineLevel="0" collapsed="false">
      <c r="A4" s="7" t="s">
        <v>160</v>
      </c>
      <c r="B4" s="12" t="n">
        <f aca="false">Assumptions!$B$30*12</f>
        <v>228000</v>
      </c>
      <c r="C4" s="12" t="n">
        <f aca="false">Assumptions!$B$31*6+Assumptions!$B$32*6</f>
        <v>180000</v>
      </c>
      <c r="D4" s="12" t="n">
        <f aca="false">Assumptions!$B$32*12</f>
        <v>216000</v>
      </c>
      <c r="E4" s="12" t="n">
        <f aca="false">Assumptions!$B$32*12*(1+Assumptions!$B$33)^(4-3)</f>
        <v>221400</v>
      </c>
      <c r="F4" s="12" t="n">
        <f aca="false">Assumptions!$B$32*12*(1+Assumptions!$B$33)^(5-3)</f>
        <v>226935</v>
      </c>
      <c r="G4" s="12" t="n">
        <f aca="false">Assumptions!$B$32*12*(1+Assumptions!$B$33)^(6-3)</f>
        <v>232608.375</v>
      </c>
      <c r="H4" s="12" t="n">
        <f aca="false">Assumptions!$B$32*12*(1+Assumptions!$B$33)^(7-3)</f>
        <v>238423.584375</v>
      </c>
    </row>
    <row r="5" customFormat="false" ht="15" hidden="false" customHeight="false" outlineLevel="0" collapsed="false">
      <c r="A5" s="7" t="s">
        <v>161</v>
      </c>
      <c r="B5" s="19" t="n">
        <v>0</v>
      </c>
      <c r="C5" s="12" t="n">
        <f aca="false">Assumptions!$B$36*Assumptions!$B$37*(Assumptions!$B$39*6+Assumptions!$B$40*6)</f>
        <v>87360</v>
      </c>
      <c r="D5" s="12" t="n">
        <f aca="false">Assumptions!$B$36*Assumptions!$B$37*Assumptions!$B$38*12</f>
        <v>114240</v>
      </c>
      <c r="E5" s="12" t="n">
        <f aca="false">Assumptions!$B$36*Assumptions!$B$37*Assumptions!$B$38*12*(1+Assumptions!$B$41)^(4-3)</f>
        <v>117667.2</v>
      </c>
      <c r="F5" s="12" t="n">
        <f aca="false">Assumptions!$B$36*Assumptions!$B$37*Assumptions!$B$38*12*(1+Assumptions!$B$41)^(5-3)</f>
        <v>121197.216</v>
      </c>
      <c r="G5" s="12" t="n">
        <f aca="false">Assumptions!$B$36*Assumptions!$B$37*Assumptions!$B$38*12*(1+Assumptions!$B$41)^(6-3)</f>
        <v>124833.13248</v>
      </c>
      <c r="H5" s="12" t="n">
        <f aca="false">Assumptions!$B$36*Assumptions!$B$37*Assumptions!$B$38*12*(1+Assumptions!$B$41)^(7-3)</f>
        <v>128578.1264544</v>
      </c>
    </row>
    <row r="6" customFormat="false" ht="15" hidden="false" customHeight="false" outlineLevel="0" collapsed="false">
      <c r="A6" s="7" t="s">
        <v>162</v>
      </c>
      <c r="B6" s="17" t="n">
        <v>30000</v>
      </c>
      <c r="C6" s="17" t="n">
        <v>20000</v>
      </c>
      <c r="D6" s="17" t="n">
        <v>25000</v>
      </c>
      <c r="E6" s="12" t="n">
        <f aca="false">D6*(1+Assumptions!$B$57)</f>
        <v>25750</v>
      </c>
      <c r="F6" s="12" t="n">
        <f aca="false">E6*(1+Assumptions!$B$57)</f>
        <v>26522.5</v>
      </c>
      <c r="G6" s="12" t="n">
        <f aca="false">F6*(1+Assumptions!$B$57)</f>
        <v>27318.175</v>
      </c>
      <c r="H6" s="12" t="n">
        <f aca="false">G6*(1+Assumptions!$B$57)</f>
        <v>28137.72025</v>
      </c>
    </row>
    <row r="7" customFormat="false" ht="15" hidden="false" customHeight="false" outlineLevel="0" collapsed="false">
      <c r="A7" s="28" t="s">
        <v>163</v>
      </c>
      <c r="B7" s="29" t="n">
        <f aca="false">SUM(B4:B6)</f>
        <v>258000</v>
      </c>
      <c r="C7" s="29" t="n">
        <f aca="false">SUM(C4:C6)</f>
        <v>287360</v>
      </c>
      <c r="D7" s="29" t="n">
        <f aca="false">SUM(D4:D6)</f>
        <v>355240</v>
      </c>
      <c r="E7" s="29" t="n">
        <f aca="false">SUM(E4:E6)</f>
        <v>364817.2</v>
      </c>
      <c r="F7" s="29" t="n">
        <f aca="false">SUM(F4:F6)</f>
        <v>374654.716</v>
      </c>
      <c r="G7" s="29" t="n">
        <f aca="false">SUM(G4:G6)</f>
        <v>384759.68248</v>
      </c>
      <c r="H7" s="29" t="n">
        <f aca="false">SUM(H4:H6)</f>
        <v>395139.4310794</v>
      </c>
    </row>
    <row r="9" customFormat="false" ht="15" hidden="false" customHeight="false" outlineLevel="0" collapsed="false">
      <c r="A9" s="2" t="s">
        <v>164</v>
      </c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2" t="s">
        <v>165</v>
      </c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 t="s">
        <v>166</v>
      </c>
      <c r="B11" s="2"/>
      <c r="C11" s="2"/>
      <c r="D11" s="2"/>
      <c r="E11" s="2"/>
      <c r="F11" s="2"/>
      <c r="G11" s="2"/>
      <c r="H11" s="2"/>
    </row>
  </sheetData>
  <mergeCells count="4">
    <mergeCell ref="A1:H1"/>
    <mergeCell ref="A9:H9"/>
    <mergeCell ref="A10:H10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4"/>
    <col collapsed="false" customWidth="true" hidden="false" outlineLevel="0" max="9" min="9" style="0" width="4"/>
    <col collapsed="false" customWidth="true" hidden="false" outlineLevel="0" max="10" min="10" style="0" width="50"/>
  </cols>
  <sheetData>
    <row r="1" customFormat="false" ht="24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0"/>
      <c r="B3" s="14" t="s">
        <v>27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</row>
    <row r="4" customFormat="false" ht="15" hidden="false" customHeight="false" outlineLevel="0" collapsed="false">
      <c r="A4" s="7" t="s">
        <v>168</v>
      </c>
      <c r="B4" s="30"/>
      <c r="C4" s="30"/>
      <c r="D4" s="30"/>
      <c r="E4" s="30"/>
      <c r="F4" s="30"/>
      <c r="G4" s="30"/>
      <c r="H4" s="30"/>
    </row>
    <row r="5" customFormat="false" ht="15" hidden="false" customHeight="false" outlineLevel="0" collapsed="false">
      <c r="A5" s="16" t="s">
        <v>169</v>
      </c>
      <c r="B5" s="12" t="n">
        <f aca="false">Assumptions!$B$54</f>
        <v>8000</v>
      </c>
      <c r="C5" s="19"/>
      <c r="D5" s="19"/>
      <c r="E5" s="19"/>
      <c r="F5" s="19"/>
      <c r="G5" s="19"/>
      <c r="H5" s="19"/>
    </row>
    <row r="7" customFormat="false" ht="15" hidden="false" customHeight="false" outlineLevel="0" collapsed="false">
      <c r="A7" s="7" t="s">
        <v>170</v>
      </c>
      <c r="B7" s="30"/>
      <c r="C7" s="30"/>
      <c r="D7" s="30"/>
      <c r="E7" s="30"/>
      <c r="F7" s="30"/>
      <c r="G7" s="30"/>
      <c r="H7" s="30"/>
    </row>
    <row r="8" customFormat="false" ht="15" hidden="false" customHeight="false" outlineLevel="0" collapsed="false">
      <c r="A8" s="16" t="s">
        <v>118</v>
      </c>
      <c r="C8" s="12" t="n">
        <f aca="false">Assumptions!$B$55</f>
        <v>45000</v>
      </c>
    </row>
    <row r="9" customFormat="false" ht="15" hidden="false" customHeight="false" outlineLevel="0" collapsed="false">
      <c r="A9" s="16" t="s">
        <v>171</v>
      </c>
      <c r="C9" s="12" t="n">
        <f aca="false">Assumptions!$B$56</f>
        <v>50000</v>
      </c>
    </row>
    <row r="11" customFormat="false" ht="15" hidden="false" customHeight="false" outlineLevel="0" collapsed="false">
      <c r="A11" s="7" t="s">
        <v>172</v>
      </c>
      <c r="B11" s="30"/>
      <c r="C11" s="30"/>
      <c r="D11" s="30"/>
      <c r="E11" s="30"/>
      <c r="F11" s="30"/>
      <c r="G11" s="30"/>
      <c r="H11" s="30"/>
    </row>
    <row r="12" customFormat="false" ht="15" hidden="false" customHeight="false" outlineLevel="0" collapsed="false">
      <c r="A12" s="16" t="s">
        <v>173</v>
      </c>
      <c r="B12" s="4"/>
      <c r="C12" s="4"/>
      <c r="D12" s="12" t="n">
        <f aca="false">Assumptions!$B$44</f>
        <v>10500</v>
      </c>
      <c r="E12" s="19" t="n">
        <f aca="false">D12*(1+Assumptions!$B$57)</f>
        <v>10815</v>
      </c>
      <c r="F12" s="19" t="n">
        <f aca="false">E12*(1+Assumptions!$B$57)</f>
        <v>11139.45</v>
      </c>
      <c r="G12" s="19" t="n">
        <f aca="false">F12*(1+Assumptions!$B$57)</f>
        <v>11473.6335</v>
      </c>
      <c r="H12" s="19" t="n">
        <f aca="false">G12*(1+Assumptions!$B$57)</f>
        <v>11817.842505</v>
      </c>
    </row>
    <row r="13" customFormat="false" ht="15" hidden="false" customHeight="false" outlineLevel="0" collapsed="false">
      <c r="A13" s="16" t="s">
        <v>174</v>
      </c>
      <c r="B13" s="4"/>
      <c r="C13" s="4"/>
      <c r="D13" s="12" t="n">
        <f aca="false">Assumptions!$B$45</f>
        <v>3000</v>
      </c>
      <c r="E13" s="19" t="n">
        <f aca="false">D13*(1+Assumptions!$B$57)</f>
        <v>3090</v>
      </c>
      <c r="F13" s="19" t="n">
        <f aca="false">E13*(1+Assumptions!$B$57)</f>
        <v>3182.7</v>
      </c>
      <c r="G13" s="19" t="n">
        <f aca="false">F13*(1+Assumptions!$B$57)</f>
        <v>3278.181</v>
      </c>
      <c r="H13" s="19" t="n">
        <f aca="false">G13*(1+Assumptions!$B$57)</f>
        <v>3376.52643</v>
      </c>
    </row>
    <row r="14" customFormat="false" ht="15" hidden="false" customHeight="false" outlineLevel="0" collapsed="false">
      <c r="A14" s="16" t="s">
        <v>175</v>
      </c>
      <c r="B14" s="4"/>
      <c r="C14" s="4"/>
      <c r="D14" s="12" t="n">
        <f aca="false">Assumptions!$B$46</f>
        <v>18000</v>
      </c>
      <c r="E14" s="19" t="n">
        <f aca="false">D14*(1+Assumptions!$B$57)</f>
        <v>18540</v>
      </c>
      <c r="F14" s="19" t="n">
        <f aca="false">E14*(1+Assumptions!$B$57)</f>
        <v>19096.2</v>
      </c>
      <c r="G14" s="19" t="n">
        <f aca="false">F14*(1+Assumptions!$B$57)</f>
        <v>19669.086</v>
      </c>
      <c r="H14" s="19" t="n">
        <f aca="false">G14*(1+Assumptions!$B$57)</f>
        <v>20259.15858</v>
      </c>
    </row>
    <row r="15" customFormat="false" ht="15" hidden="false" customHeight="false" outlineLevel="0" collapsed="false">
      <c r="A15" s="16" t="s">
        <v>176</v>
      </c>
      <c r="B15" s="4"/>
      <c r="C15" s="4"/>
      <c r="D15" s="12" t="n">
        <f aca="false">Assumptions!$B$47</f>
        <v>7200</v>
      </c>
      <c r="E15" s="19" t="n">
        <f aca="false">D15*(1+Assumptions!$B$57)</f>
        <v>7416</v>
      </c>
      <c r="F15" s="19" t="n">
        <f aca="false">E15*(1+Assumptions!$B$57)</f>
        <v>7638.48</v>
      </c>
      <c r="G15" s="19" t="n">
        <f aca="false">F15*(1+Assumptions!$B$57)</f>
        <v>7867.6344</v>
      </c>
      <c r="H15" s="19" t="n">
        <f aca="false">G15*(1+Assumptions!$B$57)</f>
        <v>8103.663432</v>
      </c>
    </row>
    <row r="16" customFormat="false" ht="15" hidden="false" customHeight="false" outlineLevel="0" collapsed="false">
      <c r="A16" s="16" t="s">
        <v>177</v>
      </c>
      <c r="B16" s="4"/>
      <c r="C16" s="4"/>
      <c r="D16" s="12" t="n">
        <f aca="false">Assumptions!$B$48</f>
        <v>20000</v>
      </c>
      <c r="E16" s="19" t="n">
        <f aca="false">D16*(1+Assumptions!$B$57)</f>
        <v>20600</v>
      </c>
      <c r="F16" s="19" t="n">
        <f aca="false">E16*(1+Assumptions!$B$57)</f>
        <v>21218</v>
      </c>
      <c r="G16" s="19" t="n">
        <f aca="false">F16*(1+Assumptions!$B$57)</f>
        <v>21854.54</v>
      </c>
      <c r="H16" s="19" t="n">
        <f aca="false">G16*(1+Assumptions!$B$57)</f>
        <v>22510.1762</v>
      </c>
    </row>
    <row r="17" customFormat="false" ht="15" hidden="false" customHeight="false" outlineLevel="0" collapsed="false">
      <c r="A17" s="16" t="s">
        <v>178</v>
      </c>
      <c r="B17" s="4"/>
      <c r="C17" s="4"/>
      <c r="D17" s="12" t="n">
        <f aca="false">Assumptions!$B$49</f>
        <v>12000</v>
      </c>
      <c r="E17" s="19" t="n">
        <f aca="false">D17*(1+Assumptions!$B$57)</f>
        <v>12360</v>
      </c>
      <c r="F17" s="19" t="n">
        <f aca="false">E17*(1+Assumptions!$B$57)</f>
        <v>12730.8</v>
      </c>
      <c r="G17" s="19" t="n">
        <f aca="false">F17*(1+Assumptions!$B$57)</f>
        <v>13112.724</v>
      </c>
      <c r="H17" s="19" t="n">
        <f aca="false">G17*(1+Assumptions!$B$57)</f>
        <v>13506.10572</v>
      </c>
    </row>
    <row r="18" customFormat="false" ht="15" hidden="false" customHeight="false" outlineLevel="0" collapsed="false">
      <c r="A18" s="16" t="s">
        <v>179</v>
      </c>
      <c r="B18" s="4"/>
      <c r="C18" s="4"/>
      <c r="D18" s="12" t="n">
        <f aca="false">Assumptions!$B$50</f>
        <v>5000</v>
      </c>
      <c r="E18" s="19" t="n">
        <f aca="false">D18*(1+Assumptions!$B$57)</f>
        <v>5150</v>
      </c>
      <c r="F18" s="19" t="n">
        <f aca="false">E18*(1+Assumptions!$B$57)</f>
        <v>5304.5</v>
      </c>
      <c r="G18" s="19" t="n">
        <f aca="false">F18*(1+Assumptions!$B$57)</f>
        <v>5463.635</v>
      </c>
      <c r="H18" s="19" t="n">
        <f aca="false">G18*(1+Assumptions!$B$57)</f>
        <v>5627.54405</v>
      </c>
    </row>
    <row r="19" customFormat="false" ht="15" hidden="false" customHeight="false" outlineLevel="0" collapsed="false">
      <c r="A19" s="16" t="s">
        <v>180</v>
      </c>
      <c r="B19" s="4"/>
      <c r="C19" s="4"/>
      <c r="D19" s="12" t="n">
        <f aca="false">Assumptions!$B$51</f>
        <v>6000</v>
      </c>
      <c r="E19" s="19" t="n">
        <f aca="false">D19*(1+Assumptions!$B$57)</f>
        <v>6180</v>
      </c>
      <c r="F19" s="19" t="n">
        <f aca="false">E19*(1+Assumptions!$B$57)</f>
        <v>6365.4</v>
      </c>
      <c r="G19" s="19" t="n">
        <f aca="false">F19*(1+Assumptions!$B$57)</f>
        <v>6556.362</v>
      </c>
      <c r="H19" s="19" t="n">
        <f aca="false">G19*(1+Assumptions!$B$57)</f>
        <v>6753.05286</v>
      </c>
    </row>
    <row r="20" customFormat="false" ht="15" hidden="false" customHeight="false" outlineLevel="0" collapsed="false">
      <c r="A20" s="16" t="s">
        <v>113</v>
      </c>
      <c r="B20" s="4"/>
      <c r="C20" s="4"/>
      <c r="D20" s="12" t="n">
        <f aca="false">Assumptions!$B$52</f>
        <v>4000</v>
      </c>
      <c r="E20" s="19" t="n">
        <f aca="false">D20*(1+Assumptions!$B$57)</f>
        <v>4120</v>
      </c>
      <c r="F20" s="19" t="n">
        <f aca="false">E20*(1+Assumptions!$B$57)</f>
        <v>4243.6</v>
      </c>
      <c r="G20" s="19" t="n">
        <f aca="false">F20*(1+Assumptions!$B$57)</f>
        <v>4370.908</v>
      </c>
      <c r="H20" s="19" t="n">
        <f aca="false">G20*(1+Assumptions!$B$57)</f>
        <v>4502.03524</v>
      </c>
    </row>
    <row r="21" customFormat="false" ht="15" hidden="false" customHeight="false" outlineLevel="0" collapsed="false">
      <c r="A21" s="16" t="s">
        <v>181</v>
      </c>
      <c r="B21" s="19" t="n">
        <v>0</v>
      </c>
      <c r="C21" s="12" t="n">
        <f aca="false">Assumptions!$B$53*Revenue!C7</f>
        <v>14368</v>
      </c>
      <c r="D21" s="12" t="n">
        <f aca="false">Assumptions!$B$53*Revenue!D7</f>
        <v>17762</v>
      </c>
      <c r="E21" s="12" t="n">
        <f aca="false">Assumptions!$B$53*Revenue!E7</f>
        <v>18240.86</v>
      </c>
      <c r="F21" s="12" t="n">
        <f aca="false">Assumptions!$B$53*Revenue!F7</f>
        <v>18732.7358</v>
      </c>
      <c r="G21" s="12" t="n">
        <f aca="false">Assumptions!$B$53*Revenue!G7</f>
        <v>19237.984124</v>
      </c>
      <c r="H21" s="12" t="n">
        <f aca="false">Assumptions!$B$53*Revenue!H7</f>
        <v>19756.97155397</v>
      </c>
    </row>
    <row r="23" customFormat="false" ht="15" hidden="false" customHeight="false" outlineLevel="0" collapsed="false">
      <c r="A23" s="28" t="s">
        <v>182</v>
      </c>
      <c r="B23" s="29" t="n">
        <f aca="false">B5+B21</f>
        <v>8000</v>
      </c>
      <c r="C23" s="29" t="n">
        <f aca="false">C8+C9+C21</f>
        <v>109368</v>
      </c>
      <c r="D23" s="29" t="n">
        <f aca="false">SUM(D12:D20)+D21</f>
        <v>103462</v>
      </c>
      <c r="E23" s="29" t="n">
        <f aca="false">SUM(E12:E20)+E21</f>
        <v>106511.86</v>
      </c>
      <c r="F23" s="29" t="n">
        <f aca="false">SUM(F12:F20)+F21</f>
        <v>109651.8658</v>
      </c>
      <c r="G23" s="29" t="n">
        <f aca="false">SUM(G12:G20)+G21</f>
        <v>112884.688024</v>
      </c>
      <c r="H23" s="29" t="n">
        <f aca="false">SUM(H12:H20)+H21</f>
        <v>116213.07657097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4"/>
    <col collapsed="false" customWidth="true" hidden="false" outlineLevel="0" max="9" min="9" style="0" width="4"/>
    <col collapsed="false" customWidth="true" hidden="false" outlineLevel="0" max="10" min="10" style="0" width="50"/>
  </cols>
  <sheetData>
    <row r="1" customFormat="false" ht="24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184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16" t="s">
        <v>4</v>
      </c>
      <c r="B4" s="12" t="n">
        <f aca="false">Assumptions!$B$5</f>
        <v>2650000</v>
      </c>
    </row>
    <row r="5" customFormat="false" ht="15" hidden="false" customHeight="false" outlineLevel="0" collapsed="false">
      <c r="A5" s="16" t="s">
        <v>185</v>
      </c>
      <c r="B5" s="12" t="n">
        <f aca="false">-Assumptions!$B$5*Assumptions!$B$60</f>
        <v>-397500</v>
      </c>
    </row>
    <row r="6" customFormat="false" ht="15" hidden="false" customHeight="false" outlineLevel="0" collapsed="false">
      <c r="A6" s="16" t="s">
        <v>186</v>
      </c>
      <c r="B6" s="12" t="n">
        <f aca="false">Assumptions!$B$6</f>
        <v>350000</v>
      </c>
    </row>
    <row r="7" customFormat="false" ht="15" hidden="false" customHeight="false" outlineLevel="0" collapsed="false">
      <c r="A7" s="7" t="s">
        <v>187</v>
      </c>
      <c r="B7" s="8" t="n">
        <f aca="false">SUM(B4:B6)</f>
        <v>2602500</v>
      </c>
    </row>
    <row r="9" customFormat="false" ht="15" hidden="false" customHeight="false" outlineLevel="0" collapsed="false">
      <c r="A9" s="16" t="s">
        <v>188</v>
      </c>
      <c r="B9" s="12" t="n">
        <f aca="false">B7*Assumptions!$B$61</f>
        <v>312300</v>
      </c>
    </row>
    <row r="10" customFormat="false" ht="15" hidden="false" customHeight="false" outlineLevel="0" collapsed="false">
      <c r="A10" s="16" t="s">
        <v>189</v>
      </c>
      <c r="B10" s="12" t="n">
        <f aca="false">B7*Assumptions!$B$62</f>
        <v>208200</v>
      </c>
    </row>
    <row r="11" customFormat="false" ht="15" hidden="false" customHeight="false" outlineLevel="0" collapsed="false">
      <c r="A11" s="16" t="s">
        <v>190</v>
      </c>
      <c r="B11" s="12" t="n">
        <f aca="false">B7*Assumptions!$B$63</f>
        <v>2082000</v>
      </c>
    </row>
    <row r="14" customFormat="false" ht="15" hidden="false" customHeight="false" outlineLevel="0" collapsed="false">
      <c r="A14" s="3" t="s">
        <v>191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B15" s="14" t="s">
        <v>27</v>
      </c>
      <c r="C15" s="14" t="s">
        <v>28</v>
      </c>
      <c r="D15" s="14" t="s">
        <v>29</v>
      </c>
      <c r="E15" s="14" t="s">
        <v>30</v>
      </c>
      <c r="F15" s="14" t="s">
        <v>31</v>
      </c>
      <c r="G15" s="14" t="s">
        <v>32</v>
      </c>
      <c r="H15" s="14" t="s">
        <v>33</v>
      </c>
    </row>
    <row r="16" customFormat="false" ht="15" hidden="false" customHeight="false" outlineLevel="0" collapsed="false">
      <c r="A16" s="16" t="s">
        <v>192</v>
      </c>
      <c r="B16" s="12" t="n">
        <f aca="false">B9*Assumptions!$B$64</f>
        <v>312300</v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</row>
    <row r="17" customFormat="false" ht="15" hidden="false" customHeight="false" outlineLevel="0" collapsed="false">
      <c r="A17" s="16" t="s">
        <v>193</v>
      </c>
      <c r="B17" s="12" t="n">
        <f aca="false">B10*Assumptions!$B$64</f>
        <v>208200</v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</row>
    <row r="18" customFormat="false" ht="15" hidden="false" customHeight="false" outlineLevel="0" collapsed="false">
      <c r="A18" s="16" t="s">
        <v>194</v>
      </c>
      <c r="B18" s="19" t="n">
        <f aca="false">B11/39*(6.5/12)</f>
        <v>28916.6666666667</v>
      </c>
      <c r="C18" s="19" t="n">
        <f aca="false">B11/39</f>
        <v>53384.6153846154</v>
      </c>
      <c r="D18" s="19" t="n">
        <f aca="false">B11/39</f>
        <v>53384.6153846154</v>
      </c>
      <c r="E18" s="19" t="n">
        <f aca="false">B11/39</f>
        <v>53384.6153846154</v>
      </c>
      <c r="F18" s="19" t="n">
        <f aca="false">B11/39</f>
        <v>53384.6153846154</v>
      </c>
      <c r="G18" s="19" t="n">
        <f aca="false">B11/39</f>
        <v>53384.6153846154</v>
      </c>
      <c r="H18" s="19" t="n">
        <f aca="false">B11/39</f>
        <v>53384.6153846154</v>
      </c>
    </row>
    <row r="19" customFormat="false" ht="15" hidden="false" customHeight="false" outlineLevel="0" collapsed="false">
      <c r="A19" s="28" t="s">
        <v>195</v>
      </c>
      <c r="B19" s="29" t="n">
        <f aca="false">SUM(B16:B18)</f>
        <v>549416.666666667</v>
      </c>
      <c r="C19" s="29" t="n">
        <f aca="false">SUM(C16:C18)</f>
        <v>53384.6153846154</v>
      </c>
      <c r="D19" s="29" t="n">
        <f aca="false">SUM(D16:D18)</f>
        <v>53384.6153846154</v>
      </c>
      <c r="E19" s="29" t="n">
        <f aca="false">SUM(E16:E18)</f>
        <v>53384.6153846154</v>
      </c>
      <c r="F19" s="29" t="n">
        <f aca="false">SUM(F16:F18)</f>
        <v>53384.6153846154</v>
      </c>
      <c r="G19" s="29" t="n">
        <f aca="false">SUM(G16:G18)</f>
        <v>53384.6153846154</v>
      </c>
      <c r="H19" s="29" t="n">
        <f aca="false">SUM(H16:H18)</f>
        <v>53384.6153846154</v>
      </c>
    </row>
    <row r="20" customFormat="false" ht="15" hidden="false" customHeight="false" outlineLevel="0" collapsed="false">
      <c r="A20" s="16" t="s">
        <v>196</v>
      </c>
      <c r="B20" s="19" t="n">
        <f aca="false">B19</f>
        <v>549416.666666667</v>
      </c>
      <c r="C20" s="19" t="n">
        <f aca="false">B20+C19</f>
        <v>602801.282051282</v>
      </c>
      <c r="D20" s="19" t="n">
        <f aca="false">C20+D19</f>
        <v>656185.897435897</v>
      </c>
      <c r="E20" s="19" t="n">
        <f aca="false">D20+E19</f>
        <v>709570.512820513</v>
      </c>
      <c r="F20" s="19" t="n">
        <f aca="false">E20+F19</f>
        <v>762955.128205128</v>
      </c>
      <c r="G20" s="19" t="n">
        <f aca="false">F20+G19</f>
        <v>816339.743589744</v>
      </c>
      <c r="H20" s="19" t="n">
        <f aca="false">G20+H19</f>
        <v>869724.358974359</v>
      </c>
    </row>
    <row r="22" customFormat="false" ht="30" hidden="false" customHeight="true" outlineLevel="0" collapsed="false">
      <c r="A22" s="31" t="s">
        <v>197</v>
      </c>
      <c r="B22" s="31"/>
      <c r="C22" s="31"/>
      <c r="D22" s="31"/>
      <c r="E22" s="31"/>
      <c r="F22" s="31"/>
      <c r="G22" s="31"/>
      <c r="H22" s="31"/>
    </row>
    <row r="23" customFormat="false" ht="15" hidden="false" customHeight="false" outlineLevel="0" collapsed="false">
      <c r="A23" s="31"/>
      <c r="B23" s="31"/>
      <c r="C23" s="31"/>
      <c r="D23" s="31"/>
      <c r="E23" s="31"/>
      <c r="F23" s="31"/>
      <c r="G23" s="31"/>
      <c r="H23" s="31"/>
    </row>
  </sheetData>
  <mergeCells count="4">
    <mergeCell ref="A1:H1"/>
    <mergeCell ref="A3:H3"/>
    <mergeCell ref="A14:H14"/>
    <mergeCell ref="A22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4"/>
    <col collapsed="false" customWidth="true" hidden="false" outlineLevel="0" max="9" min="9" style="0" width="4"/>
    <col collapsed="false" customWidth="true" hidden="false" outlineLevel="0" max="10" min="10" style="0" width="50"/>
  </cols>
  <sheetData>
    <row r="1" customFormat="false" ht="24" hidden="false" customHeight="true" outlineLevel="0" collapsed="false">
      <c r="A1" s="1" t="s">
        <v>198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B3" s="14" t="s">
        <v>27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</row>
    <row r="4" customFormat="false" ht="15" hidden="false" customHeight="false" outlineLevel="0" collapsed="false">
      <c r="A4" s="16" t="s">
        <v>199</v>
      </c>
      <c r="B4" s="12" t="n">
        <f aca="false">Revenue!B7</f>
        <v>258000</v>
      </c>
      <c r="C4" s="12" t="n">
        <f aca="false">Revenue!C7</f>
        <v>287360</v>
      </c>
      <c r="D4" s="12" t="n">
        <f aca="false">Revenue!D7</f>
        <v>355240</v>
      </c>
      <c r="E4" s="12" t="n">
        <f aca="false">Revenue!E7</f>
        <v>364817.2</v>
      </c>
      <c r="F4" s="12" t="n">
        <f aca="false">Revenue!F7</f>
        <v>374654.716</v>
      </c>
      <c r="G4" s="12" t="n">
        <f aca="false">Revenue!G7</f>
        <v>384759.68248</v>
      </c>
      <c r="H4" s="12" t="n">
        <f aca="false">Revenue!H7</f>
        <v>395139.4310794</v>
      </c>
    </row>
    <row r="5" customFormat="false" ht="15" hidden="false" customHeight="false" outlineLevel="0" collapsed="false">
      <c r="A5" s="16" t="s">
        <v>200</v>
      </c>
      <c r="B5" s="19" t="n">
        <v>0</v>
      </c>
      <c r="C5" s="19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</row>
    <row r="6" customFormat="false" ht="15" hidden="false" customHeight="false" outlineLevel="0" collapsed="false">
      <c r="A6" s="7" t="s">
        <v>201</v>
      </c>
      <c r="B6" s="32" t="n">
        <f aca="false">B4-B5</f>
        <v>258000</v>
      </c>
      <c r="C6" s="32" t="n">
        <f aca="false">C4-C5</f>
        <v>287360</v>
      </c>
      <c r="D6" s="32" t="n">
        <f aca="false">D4-D5</f>
        <v>355240</v>
      </c>
      <c r="E6" s="32" t="n">
        <f aca="false">E4-E5</f>
        <v>364817.2</v>
      </c>
      <c r="F6" s="32" t="n">
        <f aca="false">F4-F5</f>
        <v>374654.716</v>
      </c>
      <c r="G6" s="32" t="n">
        <f aca="false">G4-G5</f>
        <v>384759.68248</v>
      </c>
      <c r="H6" s="32" t="n">
        <f aca="false">H4-H5</f>
        <v>395139.4310794</v>
      </c>
    </row>
    <row r="7" customFormat="false" ht="15" hidden="false" customHeight="false" outlineLevel="0" collapsed="false">
      <c r="A7" s="16" t="s">
        <v>202</v>
      </c>
      <c r="B7" s="12" t="n">
        <f aca="false">-OpEx!B23</f>
        <v>-8000</v>
      </c>
      <c r="C7" s="12" t="n">
        <f aca="false">-OpEx!C23</f>
        <v>-109368</v>
      </c>
      <c r="D7" s="12" t="n">
        <f aca="false">-OpEx!D23</f>
        <v>-103462</v>
      </c>
      <c r="E7" s="12" t="n">
        <f aca="false">-OpEx!E23</f>
        <v>-106511.86</v>
      </c>
      <c r="F7" s="12" t="n">
        <f aca="false">-OpEx!F23</f>
        <v>-109651.8658</v>
      </c>
      <c r="G7" s="12" t="n">
        <f aca="false">-OpEx!G23</f>
        <v>-112884.688024</v>
      </c>
      <c r="H7" s="12" t="n">
        <f aca="false">-OpEx!H23</f>
        <v>-116213.07657097</v>
      </c>
    </row>
    <row r="8" customFormat="false" ht="15" hidden="false" customHeight="false" outlineLevel="0" collapsed="false">
      <c r="A8" s="28" t="s">
        <v>203</v>
      </c>
      <c r="B8" s="29" t="n">
        <f aca="false">B6+B7</f>
        <v>250000</v>
      </c>
      <c r="C8" s="29" t="n">
        <f aca="false">C6+C7</f>
        <v>177992</v>
      </c>
      <c r="D8" s="29" t="n">
        <f aca="false">D6+D7</f>
        <v>251778</v>
      </c>
      <c r="E8" s="29" t="n">
        <f aca="false">E6+E7</f>
        <v>258305.34</v>
      </c>
      <c r="F8" s="29" t="n">
        <f aca="false">F6+F7</f>
        <v>265002.8502</v>
      </c>
      <c r="G8" s="29" t="n">
        <f aca="false">G6+G7</f>
        <v>271874.994456</v>
      </c>
      <c r="H8" s="29" t="n">
        <f aca="false">H6+H7</f>
        <v>278926.35450843</v>
      </c>
    </row>
    <row r="10" customFormat="false" ht="15" hidden="false" customHeight="false" outlineLevel="0" collapsed="false">
      <c r="A10" s="16" t="s">
        <v>204</v>
      </c>
      <c r="B10" s="12" t="n">
        <f aca="false">-Debt!E17</f>
        <v>-185948.134684854</v>
      </c>
      <c r="C10" s="12" t="n">
        <f aca="false">-Debt!E18</f>
        <v>-185948.134684854</v>
      </c>
      <c r="D10" s="12" t="n">
        <f aca="false">-Debt!E19</f>
        <v>-185948.134684854</v>
      </c>
      <c r="E10" s="12" t="n">
        <f aca="false">-Debt!E20</f>
        <v>-185948.134684854</v>
      </c>
      <c r="F10" s="12" t="n">
        <f aca="false">-Debt!E21</f>
        <v>-185948.134684854</v>
      </c>
      <c r="G10" s="12" t="n">
        <f aca="false">-Debt!E22</f>
        <v>-185948.134684854</v>
      </c>
      <c r="H10" s="12" t="n">
        <f aca="false">-Debt!E23</f>
        <v>-185948.134684854</v>
      </c>
    </row>
    <row r="11" customFormat="false" ht="15" hidden="false" customHeight="false" outlineLevel="0" collapsed="false">
      <c r="A11" s="18" t="s">
        <v>205</v>
      </c>
      <c r="B11" s="12" t="n">
        <f aca="false">Debt!C17</f>
        <v>130942.038520784</v>
      </c>
      <c r="C11" s="12" t="n">
        <f aca="false">Debt!C18</f>
        <v>127403.9466011</v>
      </c>
      <c r="D11" s="12" t="n">
        <f aca="false">Debt!C19</f>
        <v>123638.278188897</v>
      </c>
      <c r="E11" s="12" t="n">
        <f aca="false">Debt!C20</f>
        <v>119630.395151216</v>
      </c>
      <c r="F11" s="12" t="n">
        <f aca="false">Debt!C21</f>
        <v>115364.717803821</v>
      </c>
      <c r="G11" s="12" t="n">
        <f aca="false">Debt!C22</f>
        <v>110824.664348917</v>
      </c>
      <c r="H11" s="12" t="n">
        <f aca="false">Debt!C23</f>
        <v>105992.586417383</v>
      </c>
    </row>
    <row r="12" customFormat="false" ht="15" hidden="false" customHeight="false" outlineLevel="0" collapsed="false">
      <c r="A12" s="18" t="s">
        <v>206</v>
      </c>
      <c r="B12" s="12" t="n">
        <f aca="false">Debt!D17</f>
        <v>55006.0961640697</v>
      </c>
      <c r="C12" s="12" t="n">
        <f aca="false">Debt!D18</f>
        <v>58544.1880837539</v>
      </c>
      <c r="D12" s="12" t="n">
        <f aca="false">Debt!D19</f>
        <v>62309.8564959564</v>
      </c>
      <c r="E12" s="12" t="n">
        <f aca="false">Debt!D20</f>
        <v>66317.7395336375</v>
      </c>
      <c r="F12" s="12" t="n">
        <f aca="false">Debt!D21</f>
        <v>70583.4168810322</v>
      </c>
      <c r="G12" s="12" t="n">
        <f aca="false">Debt!D22</f>
        <v>75123.4703359366</v>
      </c>
      <c r="H12" s="12" t="n">
        <f aca="false">Debt!D23</f>
        <v>79955.5482674702</v>
      </c>
    </row>
    <row r="14" customFormat="false" ht="15" hidden="false" customHeight="false" outlineLevel="0" collapsed="false">
      <c r="A14" s="28" t="s">
        <v>207</v>
      </c>
      <c r="B14" s="29" t="n">
        <f aca="false">B8+B10</f>
        <v>64051.8653151465</v>
      </c>
      <c r="C14" s="29" t="n">
        <f aca="false">C8+C10</f>
        <v>-7956.13468485349</v>
      </c>
      <c r="D14" s="29" t="n">
        <f aca="false">D8+D10</f>
        <v>65829.8653151465</v>
      </c>
      <c r="E14" s="29" t="n">
        <f aca="false">E8+E10</f>
        <v>72357.2053151465</v>
      </c>
      <c r="F14" s="29" t="n">
        <f aca="false">F8+F10</f>
        <v>79054.7155151465</v>
      </c>
      <c r="G14" s="29" t="n">
        <f aca="false">G8+G10</f>
        <v>85926.8597711464</v>
      </c>
      <c r="H14" s="29" t="n">
        <f aca="false">H8+H10</f>
        <v>92978.2198235764</v>
      </c>
    </row>
    <row r="16" customFormat="false" ht="15" hidden="false" customHeight="false" outlineLevel="0" collapsed="false">
      <c r="A16" s="3" t="s">
        <v>208</v>
      </c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16" t="s">
        <v>35</v>
      </c>
      <c r="B17" s="19" t="n">
        <f aca="false">B8</f>
        <v>250000</v>
      </c>
      <c r="C17" s="19" t="n">
        <f aca="false">C8</f>
        <v>177992</v>
      </c>
      <c r="D17" s="19" t="n">
        <f aca="false">D8</f>
        <v>251778</v>
      </c>
      <c r="E17" s="19" t="n">
        <f aca="false">E8</f>
        <v>258305.34</v>
      </c>
      <c r="F17" s="19" t="n">
        <f aca="false">F8</f>
        <v>265002.8502</v>
      </c>
      <c r="G17" s="19" t="n">
        <f aca="false">G8</f>
        <v>271874.994456</v>
      </c>
      <c r="H17" s="19" t="n">
        <f aca="false">H8</f>
        <v>278926.35450843</v>
      </c>
    </row>
    <row r="18" customFormat="false" ht="15" hidden="false" customHeight="false" outlineLevel="0" collapsed="false">
      <c r="A18" s="16" t="s">
        <v>209</v>
      </c>
      <c r="B18" s="19" t="n">
        <f aca="false">-B11</f>
        <v>-130942.038520784</v>
      </c>
      <c r="C18" s="19" t="n">
        <f aca="false">-C11</f>
        <v>-127403.9466011</v>
      </c>
      <c r="D18" s="19" t="n">
        <f aca="false">-D11</f>
        <v>-123638.278188897</v>
      </c>
      <c r="E18" s="19" t="n">
        <f aca="false">-E11</f>
        <v>-119630.395151216</v>
      </c>
      <c r="F18" s="19" t="n">
        <f aca="false">-F11</f>
        <v>-115364.717803821</v>
      </c>
      <c r="G18" s="19" t="n">
        <f aca="false">-G11</f>
        <v>-110824.664348917</v>
      </c>
      <c r="H18" s="19" t="n">
        <f aca="false">-H11</f>
        <v>-105992.586417383</v>
      </c>
    </row>
    <row r="19" customFormat="false" ht="15" hidden="false" customHeight="false" outlineLevel="0" collapsed="false">
      <c r="A19" s="16" t="s">
        <v>210</v>
      </c>
      <c r="B19" s="12" t="n">
        <f aca="false">-Depreciation!B19</f>
        <v>-549416.666666667</v>
      </c>
      <c r="C19" s="12" t="n">
        <f aca="false">-Depreciation!C19</f>
        <v>-53384.6153846154</v>
      </c>
      <c r="D19" s="12" t="n">
        <f aca="false">-Depreciation!D19</f>
        <v>-53384.6153846154</v>
      </c>
      <c r="E19" s="12" t="n">
        <f aca="false">-Depreciation!E19</f>
        <v>-53384.6153846154</v>
      </c>
      <c r="F19" s="12" t="n">
        <f aca="false">-Depreciation!F19</f>
        <v>-53384.6153846154</v>
      </c>
      <c r="G19" s="12" t="n">
        <f aca="false">-Depreciation!G19</f>
        <v>-53384.6153846154</v>
      </c>
      <c r="H19" s="12" t="n">
        <f aca="false">-Depreciation!H19</f>
        <v>-53384.6153846154</v>
      </c>
    </row>
    <row r="20" customFormat="false" ht="15" hidden="false" customHeight="false" outlineLevel="0" collapsed="false">
      <c r="A20" s="7" t="s">
        <v>211</v>
      </c>
      <c r="B20" s="32" t="n">
        <f aca="false">B17+B18+B19</f>
        <v>-430358.70518745</v>
      </c>
      <c r="C20" s="32" t="n">
        <f aca="false">C17+C18+C19</f>
        <v>-2796.56198571495</v>
      </c>
      <c r="D20" s="32" t="n">
        <f aca="false">D17+D18+D19</f>
        <v>74755.1064264875</v>
      </c>
      <c r="E20" s="32" t="n">
        <f aca="false">E17+E18+E19</f>
        <v>85290.3294641686</v>
      </c>
      <c r="F20" s="32" t="n">
        <f aca="false">F17+F18+F19</f>
        <v>96253.5170115634</v>
      </c>
      <c r="G20" s="32" t="n">
        <f aca="false">G17+G18+G19</f>
        <v>107665.714722468</v>
      </c>
      <c r="H20" s="32" t="n">
        <f aca="false">H17+H18+H19</f>
        <v>119549.152706431</v>
      </c>
    </row>
    <row r="21" customFormat="false" ht="15" hidden="false" customHeight="false" outlineLevel="0" collapsed="false">
      <c r="A21" s="16" t="s">
        <v>212</v>
      </c>
      <c r="B21" s="19" t="n">
        <f aca="false">IF(Assumptions!$B$70="Yes",B20*Assumptions!$B$67,IF(B20&lt;0,0,B20*Assumptions!$B$67))</f>
        <v>-159232.720919357</v>
      </c>
      <c r="C21" s="19" t="n">
        <f aca="false">IF(Assumptions!$B$70="Yes",C20*Assumptions!$B$67,IF(C20&lt;0,0,C20*Assumptions!$B$67))</f>
        <v>-1034.72793471453</v>
      </c>
      <c r="D21" s="19" t="n">
        <f aca="false">IF(Assumptions!$B$70="Yes",D20*Assumptions!$B$67,IF(D20&lt;0,0,D20*Assumptions!$B$67))</f>
        <v>27659.3893778004</v>
      </c>
      <c r="E21" s="19" t="n">
        <f aca="false">IF(Assumptions!$B$70="Yes",E20*Assumptions!$B$67,IF(E20&lt;0,0,E20*Assumptions!$B$67))</f>
        <v>31557.4219017424</v>
      </c>
      <c r="F21" s="19" t="n">
        <f aca="false">IF(Assumptions!$B$70="Yes",F20*Assumptions!$B$67,IF(F20&lt;0,0,F20*Assumptions!$B$67))</f>
        <v>35613.8012942784</v>
      </c>
      <c r="G21" s="19" t="n">
        <f aca="false">IF(Assumptions!$B$70="Yes",G20*Assumptions!$B$67,IF(G20&lt;0,0,G20*Assumptions!$B$67))</f>
        <v>39836.314447313</v>
      </c>
      <c r="H21" s="19" t="n">
        <f aca="false">IF(Assumptions!$B$70="Yes",H20*Assumptions!$B$67,IF(H20&lt;0,0,H20*Assumptions!$B$67))</f>
        <v>44233.1865013796</v>
      </c>
    </row>
    <row r="23" customFormat="false" ht="15" hidden="false" customHeight="false" outlineLevel="0" collapsed="false">
      <c r="A23" s="28" t="s">
        <v>213</v>
      </c>
      <c r="B23" s="29" t="n">
        <f aca="false">B14-B21</f>
        <v>223284.586234503</v>
      </c>
      <c r="C23" s="29" t="n">
        <f aca="false">C14-C21</f>
        <v>-6921.40675013896</v>
      </c>
      <c r="D23" s="29" t="n">
        <f aca="false">D14-D21</f>
        <v>38170.4759373461</v>
      </c>
      <c r="E23" s="29" t="n">
        <f aca="false">E14-E21</f>
        <v>40799.7834134041</v>
      </c>
      <c r="F23" s="29" t="n">
        <f aca="false">F14-F21</f>
        <v>43440.9142208681</v>
      </c>
      <c r="G23" s="29" t="n">
        <f aca="false">G14-G21</f>
        <v>46090.5453238334</v>
      </c>
      <c r="H23" s="29" t="n">
        <f aca="false">H14-H21</f>
        <v>48745.0333221968</v>
      </c>
    </row>
    <row r="25" customFormat="false" ht="15" hidden="false" customHeight="false" outlineLevel="0" collapsed="false">
      <c r="A25" s="16" t="s">
        <v>214</v>
      </c>
      <c r="B25" s="33" t="n">
        <f aca="false">B8/Debt!E17</f>
        <v>1.34446091875943</v>
      </c>
      <c r="C25" s="33" t="n">
        <f aca="false">C8/Debt!E18</f>
        <v>0.957213151407313</v>
      </c>
      <c r="D25" s="33" t="n">
        <f aca="false">D8/Debt!E19</f>
        <v>1.35402272481365</v>
      </c>
      <c r="E25" s="33" t="n">
        <f aca="false">E8/Debt!E20</f>
        <v>1.38912573894747</v>
      </c>
      <c r="F25" s="33" t="n">
        <f aca="false">F8/Debt!E21</f>
        <v>1.42514390181504</v>
      </c>
      <c r="G25" s="33" t="n">
        <f aca="false">G8/Debt!E22</f>
        <v>1.46210121933611</v>
      </c>
      <c r="H25" s="33" t="n">
        <f aca="false">H8/Debt!E23</f>
        <v>1.50002233139449</v>
      </c>
    </row>
    <row r="26" customFormat="false" ht="15" hidden="false" customHeight="false" outlineLevel="0" collapsed="false">
      <c r="A26" s="16" t="s">
        <v>215</v>
      </c>
      <c r="B26" s="34" t="n">
        <f aca="false">B14/Assumptions!$B$27</f>
        <v>0.0703836689104297</v>
      </c>
      <c r="C26" s="34" t="n">
        <f aca="false">C14/Assumptions!$B$27</f>
        <v>-0.00874263296955216</v>
      </c>
      <c r="D26" s="34" t="n">
        <f aca="false">D14/Assumptions!$B$27</f>
        <v>0.0723374318915236</v>
      </c>
      <c r="E26" s="34" t="n">
        <f aca="false">E14/Assumptions!$B$27</f>
        <v>0.0795100276491239</v>
      </c>
      <c r="F26" s="34" t="n">
        <f aca="false">F14/Assumptions!$B$27</f>
        <v>0.0868696156661422</v>
      </c>
      <c r="G26" s="34" t="n">
        <f aca="false">G14/Assumptions!$B$27</f>
        <v>0.0944211010700284</v>
      </c>
      <c r="H26" s="34" t="n">
        <f aca="false">H14/Assumptions!$B$27</f>
        <v>0.102169518526047</v>
      </c>
    </row>
  </sheetData>
  <mergeCells count="2">
    <mergeCell ref="A1:H1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4"/>
    <col collapsed="false" customWidth="true" hidden="false" outlineLevel="0" max="10" min="10" style="0" width="4"/>
    <col collapsed="false" customWidth="true" hidden="false" outlineLevel="0" max="11" min="11" style="0" width="40"/>
  </cols>
  <sheetData>
    <row r="1" customFormat="false" ht="24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3" t="s">
        <v>217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16" t="s">
        <v>20</v>
      </c>
      <c r="B4" s="12" t="n">
        <f aca="false">CashFlow!H8</f>
        <v>278926.35450843</v>
      </c>
    </row>
    <row r="5" customFormat="false" ht="15" hidden="false" customHeight="false" outlineLevel="0" collapsed="false">
      <c r="A5" s="16" t="s">
        <v>218</v>
      </c>
      <c r="B5" s="13" t="n">
        <f aca="false">Assumptions!$B$71</f>
        <v>0.085</v>
      </c>
    </row>
    <row r="6" customFormat="false" ht="15" hidden="false" customHeight="false" outlineLevel="0" collapsed="false">
      <c r="A6" s="7" t="s">
        <v>219</v>
      </c>
      <c r="B6" s="32" t="n">
        <f aca="false">B4/B5</f>
        <v>3281486.52362859</v>
      </c>
    </row>
    <row r="7" customFormat="false" ht="15" hidden="false" customHeight="false" outlineLevel="0" collapsed="false">
      <c r="A7" s="16" t="s">
        <v>220</v>
      </c>
      <c r="B7" s="12" t="n">
        <f aca="false">-B6*Assumptions!$B$72</f>
        <v>-164074.326181429</v>
      </c>
    </row>
    <row r="8" customFormat="false" ht="15" hidden="false" customHeight="false" outlineLevel="0" collapsed="false">
      <c r="A8" s="7" t="s">
        <v>221</v>
      </c>
      <c r="B8" s="32" t="n">
        <f aca="false">B6+B7</f>
        <v>3117412.19744716</v>
      </c>
    </row>
    <row r="9" customFormat="false" ht="15" hidden="false" customHeight="false" outlineLevel="0" collapsed="false">
      <c r="A9" s="16" t="s">
        <v>222</v>
      </c>
      <c r="B9" s="12" t="n">
        <f aca="false">-Debt!F23</f>
        <v>-1652159.68423814</v>
      </c>
    </row>
    <row r="10" customFormat="false" ht="15" hidden="false" customHeight="false" outlineLevel="0" collapsed="false">
      <c r="A10" s="7" t="s">
        <v>223</v>
      </c>
      <c r="B10" s="8" t="n">
        <f aca="false">B8+B9</f>
        <v>1465252.51320901</v>
      </c>
    </row>
    <row r="12" customFormat="false" ht="15" hidden="false" customHeight="false" outlineLevel="0" collapsed="false">
      <c r="A12" s="3" t="s">
        <v>224</v>
      </c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16" t="s">
        <v>225</v>
      </c>
      <c r="B13" s="12" t="n">
        <f aca="false">Assumptions!$B$9-Depreciation!H20</f>
        <v>2160314.38022037</v>
      </c>
    </row>
    <row r="14" customFormat="false" ht="15" hidden="false" customHeight="false" outlineLevel="0" collapsed="false">
      <c r="A14" s="16" t="s">
        <v>226</v>
      </c>
      <c r="B14" s="19" t="n">
        <f aca="false">B8-B13</f>
        <v>957097.81722679</v>
      </c>
    </row>
    <row r="15" customFormat="false" ht="15" hidden="false" customHeight="false" outlineLevel="0" collapsed="false">
      <c r="A15" s="16" t="s">
        <v>227</v>
      </c>
      <c r="B15" s="12" t="n">
        <f aca="false">Depreciation!H20</f>
        <v>869724.358974359</v>
      </c>
    </row>
    <row r="16" customFormat="false" ht="15" hidden="false" customHeight="false" outlineLevel="0" collapsed="false">
      <c r="A16" s="16" t="s">
        <v>228</v>
      </c>
      <c r="B16" s="19" t="n">
        <f aca="false">MIN(B14,Depreciation!B9+Depreciation!B10)</f>
        <v>520500</v>
      </c>
    </row>
    <row r="17" customFormat="false" ht="15" hidden="false" customHeight="false" outlineLevel="0" collapsed="false">
      <c r="A17" s="16" t="s">
        <v>229</v>
      </c>
      <c r="B17" s="19" t="n">
        <f aca="false">MAX(0,MIN(B14-B16,SUM(Depreciation!B18:H18)))</f>
        <v>349224.358974359</v>
      </c>
    </row>
    <row r="18" customFormat="false" ht="15" hidden="false" customHeight="false" outlineLevel="0" collapsed="false">
      <c r="A18" s="16" t="s">
        <v>230</v>
      </c>
      <c r="B18" s="19" t="n">
        <f aca="false">MAX(0,B14-B16-B17)</f>
        <v>87373.458252431</v>
      </c>
    </row>
    <row r="19" customFormat="false" ht="15" hidden="false" customHeight="false" outlineLevel="0" collapsed="false">
      <c r="A19" s="7" t="s">
        <v>231</v>
      </c>
      <c r="B19" s="32" t="n">
        <f aca="false">B16*Assumptions!$B$67+B17*Assumptions!$B$69+B18*Assumptions!$B$68</f>
        <v>297365.781394076</v>
      </c>
    </row>
    <row r="20" customFormat="false" ht="15" hidden="false" customHeight="false" outlineLevel="0" collapsed="false">
      <c r="A20" s="28" t="s">
        <v>232</v>
      </c>
      <c r="B20" s="29" t="n">
        <f aca="false">B10-B19</f>
        <v>1167886.73181494</v>
      </c>
    </row>
    <row r="22" customFormat="false" ht="15" hidden="false" customHeight="false" outlineLevel="0" collapsed="false">
      <c r="A22" s="3" t="s">
        <v>233</v>
      </c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7" t="s">
        <v>26</v>
      </c>
      <c r="B23" s="14" t="n">
        <v>0</v>
      </c>
      <c r="C23" s="14" t="n">
        <v>1</v>
      </c>
      <c r="D23" s="14" t="n">
        <v>2</v>
      </c>
      <c r="E23" s="14" t="n">
        <v>3</v>
      </c>
      <c r="F23" s="14" t="n">
        <v>4</v>
      </c>
      <c r="G23" s="14" t="n">
        <v>5</v>
      </c>
      <c r="H23" s="14" t="n">
        <v>6</v>
      </c>
      <c r="I23" s="14" t="n">
        <v>7</v>
      </c>
    </row>
    <row r="24" customFormat="false" ht="15" hidden="false" customHeight="false" outlineLevel="0" collapsed="false">
      <c r="A24" s="16" t="s">
        <v>234</v>
      </c>
      <c r="B24" s="12" t="n">
        <f aca="false">-Assumptions!$B$27</f>
        <v>-910038.739194726</v>
      </c>
      <c r="C24" s="12" t="n">
        <f aca="false">CashFlow!B14</f>
        <v>64051.8653151465</v>
      </c>
      <c r="D24" s="12" t="n">
        <f aca="false">CashFlow!C14</f>
        <v>-7956.13468485349</v>
      </c>
      <c r="E24" s="12" t="n">
        <f aca="false">CashFlow!D14</f>
        <v>65829.8653151465</v>
      </c>
      <c r="F24" s="12" t="n">
        <f aca="false">CashFlow!E14</f>
        <v>72357.2053151465</v>
      </c>
      <c r="G24" s="12" t="n">
        <f aca="false">CashFlow!F14</f>
        <v>79054.7155151465</v>
      </c>
      <c r="H24" s="12" t="n">
        <f aca="false">CashFlow!G14</f>
        <v>85926.8597711464</v>
      </c>
      <c r="I24" s="12" t="n">
        <f aca="false">CashFlow!H14+B10</f>
        <v>1558230.73303259</v>
      </c>
    </row>
    <row r="25" customFormat="false" ht="15" hidden="false" customHeight="false" outlineLevel="0" collapsed="false">
      <c r="A25" s="16" t="s">
        <v>235</v>
      </c>
      <c r="B25" s="12" t="n">
        <f aca="false">-Assumptions!$B$27</f>
        <v>-910038.739194726</v>
      </c>
      <c r="C25" s="12" t="n">
        <f aca="false">CashFlow!B23</f>
        <v>223284.586234503</v>
      </c>
      <c r="D25" s="12" t="n">
        <f aca="false">CashFlow!C23</f>
        <v>-6921.40675013896</v>
      </c>
      <c r="E25" s="12" t="n">
        <f aca="false">CashFlow!D23</f>
        <v>38170.4759373461</v>
      </c>
      <c r="F25" s="12" t="n">
        <f aca="false">CashFlow!E23</f>
        <v>40799.7834134041</v>
      </c>
      <c r="G25" s="12" t="n">
        <f aca="false">CashFlow!F23</f>
        <v>43440.9142208681</v>
      </c>
      <c r="H25" s="12" t="n">
        <f aca="false">CashFlow!G23</f>
        <v>46090.5453238334</v>
      </c>
      <c r="I25" s="12" t="n">
        <f aca="false">CashFlow!H23+B20</f>
        <v>1216631.76513713</v>
      </c>
    </row>
    <row r="27" customFormat="false" ht="15" hidden="false" customHeight="false" outlineLevel="0" collapsed="false">
      <c r="A27" s="3" t="s">
        <v>236</v>
      </c>
      <c r="B27" s="3"/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16" t="s">
        <v>237</v>
      </c>
      <c r="B28" s="12" t="n">
        <f aca="false">Assumptions!$B$27</f>
        <v>910038.739194726</v>
      </c>
    </row>
    <row r="29" customFormat="false" ht="15" hidden="false" customHeight="false" outlineLevel="0" collapsed="false">
      <c r="A29" s="16" t="s">
        <v>238</v>
      </c>
      <c r="B29" s="19" t="n">
        <f aca="false">SUM(C24:I24)</f>
        <v>1917495.10957947</v>
      </c>
    </row>
    <row r="30" customFormat="false" ht="15" hidden="false" customHeight="false" outlineLevel="0" collapsed="false">
      <c r="A30" s="16" t="s">
        <v>239</v>
      </c>
      <c r="B30" s="19" t="n">
        <f aca="false">SUM(C25:I25)</f>
        <v>1601496.66351695</v>
      </c>
    </row>
    <row r="31" customFormat="false" ht="15" hidden="false" customHeight="false" outlineLevel="0" collapsed="false">
      <c r="A31" s="7" t="s">
        <v>240</v>
      </c>
      <c r="B31" s="35" t="n">
        <f aca="false">B29/B28</f>
        <v>2.10704778488465</v>
      </c>
    </row>
    <row r="32" customFormat="false" ht="15" hidden="false" customHeight="false" outlineLevel="0" collapsed="false">
      <c r="A32" s="7" t="s">
        <v>241</v>
      </c>
      <c r="B32" s="35" t="n">
        <f aca="false">B30/B28</f>
        <v>1.75981152729177</v>
      </c>
    </row>
    <row r="33" customFormat="false" ht="15" hidden="false" customHeight="false" outlineLevel="0" collapsed="false">
      <c r="A33" s="28" t="s">
        <v>242</v>
      </c>
      <c r="B33" s="36" t="n">
        <f aca="false">IRR(B24:I24)</f>
        <v>0.125299984356128</v>
      </c>
    </row>
    <row r="34" customFormat="false" ht="15" hidden="false" customHeight="false" outlineLevel="0" collapsed="false">
      <c r="A34" s="28" t="s">
        <v>243</v>
      </c>
      <c r="B34" s="36" t="n">
        <f aca="false">IRR(B25:I25)</f>
        <v>0.104666713884165</v>
      </c>
    </row>
    <row r="35" customFormat="false" ht="15" hidden="false" customHeight="false" outlineLevel="0" collapsed="false">
      <c r="A35" s="16" t="s">
        <v>244</v>
      </c>
      <c r="B35" s="13" t="n">
        <f aca="false">AVERAGE(CashFlow!D26:H26)</f>
        <v>0.0870615389605731</v>
      </c>
    </row>
    <row r="36" customFormat="false" ht="15" hidden="false" customHeight="false" outlineLevel="0" collapsed="false">
      <c r="A36" s="16" t="s">
        <v>245</v>
      </c>
      <c r="B36" s="10" t="n">
        <f aca="false">MIN(CashFlow!B25:H25)</f>
        <v>0.957213151407313</v>
      </c>
    </row>
    <row r="37" customFormat="false" ht="15" hidden="false" customHeight="false" outlineLevel="0" collapsed="false">
      <c r="A37" s="16" t="s">
        <v>246</v>
      </c>
      <c r="B37" s="10" t="n">
        <f aca="false">AVERAGE(CashFlow!D25:H25)</f>
        <v>1.42608318326135</v>
      </c>
    </row>
  </sheetData>
  <mergeCells count="5">
    <mergeCell ref="A1:I1"/>
    <mergeCell ref="A3:I3"/>
    <mergeCell ref="A12:I12"/>
    <mergeCell ref="A22:I22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2026-05-16T20:58:17Z</dcterms:created>
  <dc:creator>openpyxl</dc:creator>
  <dc:description/>
  <dc:language>en-US</dc:language>
  <cp:lastModifiedBy/>
  <dcterms:modified xsi:type="dcterms:W3CDTF">2026-05-16T20:58:17Z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